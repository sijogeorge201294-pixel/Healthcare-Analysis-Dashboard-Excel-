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hidePivotFieldList="1"/>
  <mc:AlternateContent xmlns:mc="http://schemas.openxmlformats.org/markup-compatibility/2006">
    <mc:Choice Requires="x15">
      <x15ac:absPath xmlns:x15ac="http://schemas.microsoft.com/office/spreadsheetml/2010/11/ac" url="E:\Data Analytics\Own Projects\Excel\"/>
    </mc:Choice>
  </mc:AlternateContent>
  <xr:revisionPtr revIDLastSave="0" documentId="13_ncr:1_{1C92833B-AD35-49E2-B99C-0DD53985962A}" xr6:coauthVersionLast="47" xr6:coauthVersionMax="47" xr10:uidLastSave="{00000000-0000-0000-0000-000000000000}"/>
  <bookViews>
    <workbookView xWindow="-108" yWindow="-108" windowWidth="23256" windowHeight="12456" activeTab="1" xr2:uid="{00000000-000D-0000-FFFF-FFFF00000000}"/>
  </bookViews>
  <sheets>
    <sheet name="Calc." sheetId="1" r:id="rId1"/>
    <sheet name="Dashboard" sheetId="2" r:id="rId2"/>
  </sheets>
  <definedNames>
    <definedName name="Slicer_Cancer_History">#N/A</definedName>
    <definedName name="Slicer_Diabetes_Status">#N/A</definedName>
    <definedName name="Slicer_Weight_Status">#N/A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isation Details_e3e61814-6287-4084-9b87-d8774c474c13" name="Hospitalisation Details" connection="Query - Hospitalisation Details"/>
          <x15:modelTable id="Medical Examinations_781c3ad5-48a2-4081-a68c-23e36076fb96" name="Medical Examinations" connection="Query - Medical Examinations"/>
          <x15:modelTable id="Customer Names_40aa36af-bae4-4f08-81fc-6376d1617c63" name="Customer Names" connection="Query - Customer Names"/>
          <x15:modelTable id="Refresh_bf1f1ac2-de49-49c2-864f-323e2dc096b1" name="Refresh" connection="Query - Refresh"/>
        </x15:modelTables>
        <x15:modelRelationships>
          <x15:modelRelationship fromTable="Hospitalisation Details" fromColumn="Patient ID" toTable="Medical Examinations" toColumn="Patien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8" i="1" l="1"/>
  <c r="F59" i="1"/>
  <c r="F60" i="1"/>
  <c r="F61" i="1"/>
  <c r="E58" i="1"/>
  <c r="E59" i="1"/>
  <c r="E60" i="1"/>
  <c r="E61" i="1"/>
  <c r="F57" i="1"/>
  <c r="E57" i="1"/>
  <c r="F56" i="1"/>
  <c r="E56" i="1"/>
  <c r="J51" i="1" l="1"/>
  <c r="K51" i="1"/>
  <c r="L51" i="1"/>
  <c r="M51" i="1"/>
  <c r="K50" i="1"/>
  <c r="L50" i="1"/>
  <c r="M50" i="1"/>
  <c r="J50" i="1"/>
  <c r="I51" i="1"/>
  <c r="I50" i="1"/>
  <c r="L8" i="1"/>
  <c r="J8" i="1"/>
  <c r="I8" i="1"/>
  <c r="J5" i="1"/>
  <c r="L5" i="1"/>
  <c r="I5" i="1"/>
  <c r="D5" i="1"/>
  <c r="E5" i="1"/>
  <c r="F5" i="1"/>
  <c r="G5" i="1"/>
  <c r="H5" i="1"/>
  <c r="K5" i="1"/>
  <c r="C5" i="1"/>
  <c r="B5" i="1"/>
  <c r="I86" i="1"/>
  <c r="J86" i="1"/>
  <c r="K86" i="1"/>
  <c r="I87" i="1"/>
  <c r="J87" i="1"/>
  <c r="K87" i="1"/>
  <c r="I88" i="1"/>
  <c r="J88" i="1"/>
  <c r="K88" i="1"/>
  <c r="J85" i="1"/>
  <c r="K85" i="1"/>
  <c r="I85" i="1"/>
  <c r="J84" i="1"/>
  <c r="K84" i="1"/>
  <c r="I84" i="1"/>
  <c r="H88" i="1"/>
  <c r="H87" i="1"/>
  <c r="H86" i="1"/>
  <c r="H8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CFD53D-F1C6-4854-A368-2299E6F5C1AD}" name="Query - Customer Names" description="Connection to the 'Customer Names' query in the workbook." type="100" refreshedVersion="8" minRefreshableVersion="5">
    <extLst>
      <ext xmlns:x15="http://schemas.microsoft.com/office/spreadsheetml/2010/11/main" uri="{DE250136-89BD-433C-8126-D09CA5730AF9}">
        <x15:connection id="5ce84a5c-2362-4514-9e62-cda62d27f486"/>
      </ext>
    </extLst>
  </connection>
  <connection id="2" xr16:uid="{B1A33D20-4540-49A7-8FDF-C4C628EB0D83}" name="Query - Hospitalisation Details" description="Connection to the 'Hospitalisation Details' query in the workbook." type="100" refreshedVersion="8" minRefreshableVersion="5">
    <extLst>
      <ext xmlns:x15="http://schemas.microsoft.com/office/spreadsheetml/2010/11/main" uri="{DE250136-89BD-433C-8126-D09CA5730AF9}">
        <x15:connection id="fdca3184-8041-479f-9c4c-7acdad564165"/>
      </ext>
    </extLst>
  </connection>
  <connection id="3" xr16:uid="{B902E118-DDEF-49BB-9641-2C1B084D74A8}" name="Query - Medical Examinations" description="Connection to the 'Medical Examinations' query in the workbook." type="100" refreshedVersion="8" minRefreshableVersion="5">
    <extLst>
      <ext xmlns:x15="http://schemas.microsoft.com/office/spreadsheetml/2010/11/main" uri="{DE250136-89BD-433C-8126-D09CA5730AF9}">
        <x15:connection id="eea097e8-3bb2-4416-976f-06adae83f826"/>
      </ext>
    </extLst>
  </connection>
  <connection id="4" xr16:uid="{47C52A97-BECF-478A-813B-71D022A88025}" name="Query - Refresh" description="Connection to the 'Refresh' query in the workbook." type="100" refreshedVersion="8" minRefreshableVersion="5">
    <extLst>
      <ext xmlns:x15="http://schemas.microsoft.com/office/spreadsheetml/2010/11/main" uri="{DE250136-89BD-433C-8126-D09CA5730AF9}">
        <x15:connection id="bb7b29b2-61fe-444d-8bf9-f800a8f35e44"/>
      </ext>
    </extLst>
  </connection>
  <connection id="5" xr16:uid="{30106A2B-E47A-455B-99E3-C8EA6E5184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<sst xmlns="http://schemas.openxmlformats.org/spreadsheetml/2006/main" count="88" uniqueCount="51">
  <si>
    <t>Patients</t>
  </si>
  <si>
    <t>Cancer Patients</t>
  </si>
  <si>
    <t>Smokers</t>
  </si>
  <si>
    <t>Avg. BMI</t>
  </si>
  <si>
    <t>Avg. HBA1C</t>
  </si>
  <si>
    <t>Transplant Patients</t>
  </si>
  <si>
    <t>Heart Patients</t>
  </si>
  <si>
    <t>Smokers Percent</t>
  </si>
  <si>
    <t>Cancer Patients Percent</t>
  </si>
  <si>
    <t>Smoker Cancer Percent</t>
  </si>
  <si>
    <t>Smoker Cancer</t>
  </si>
  <si>
    <t>No Transplant</t>
  </si>
  <si>
    <t>No Cancer</t>
  </si>
  <si>
    <t>No Smoker</t>
  </si>
  <si>
    <t>Smoker</t>
  </si>
  <si>
    <t>Row Labels</t>
  </si>
  <si>
    <t>Grand Total</t>
  </si>
  <si>
    <t>Cancer</t>
  </si>
  <si>
    <t>Count of Cancer History</t>
  </si>
  <si>
    <t>Average of Charges</t>
  </si>
  <si>
    <t>Column Labels</t>
  </si>
  <si>
    <t>Transplant</t>
  </si>
  <si>
    <t>Normal Weight</t>
  </si>
  <si>
    <t>Obesity</t>
  </si>
  <si>
    <t>Overweight</t>
  </si>
  <si>
    <t>Underweight</t>
  </si>
  <si>
    <t>Diabetes</t>
  </si>
  <si>
    <t>Normal</t>
  </si>
  <si>
    <t>Prediabetes</t>
  </si>
  <si>
    <t>Diabetic Status/
Weight Status</t>
  </si>
  <si>
    <t>Tier - 1</t>
  </si>
  <si>
    <t>Tier - 2</t>
  </si>
  <si>
    <t>Tier - 3</t>
  </si>
  <si>
    <t>20-30</t>
  </si>
  <si>
    <t>30-40</t>
  </si>
  <si>
    <t>40-50</t>
  </si>
  <si>
    <t>50-60</t>
  </si>
  <si>
    <t>Above 60</t>
  </si>
  <si>
    <t>Below 20</t>
  </si>
  <si>
    <t>Average Charges</t>
  </si>
  <si>
    <t>Count of Patient ID</t>
  </si>
  <si>
    <t>Have Issues</t>
  </si>
  <si>
    <t>No Issues</t>
  </si>
  <si>
    <t>Heart Issues</t>
  </si>
  <si>
    <t>Age Group</t>
  </si>
  <si>
    <t>Avg Charges</t>
  </si>
  <si>
    <t>Count of Number of Major Surgeries</t>
  </si>
  <si>
    <t>22-07-2026 07:31:15 PM</t>
  </si>
  <si>
    <t>Avg. of BMI</t>
  </si>
  <si>
    <t>Avg. of HBA1C</t>
  </si>
  <si>
    <t>Patients Count by Weight &amp; Diabetes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</si>
</sst>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quot;₹&quot;\ #,##0.0,\K"/>
  </numFmts>
  <fonts count="4" x14ac:knownFonts="1">
    <font>
      <sz val="11"/>
      <color theme="1"/>
      <name val="Calibri"/>
      <family val="2"/>
      <scheme val="minor"/>
    </font>
    <font>
      <sz val="11"/>
      <color theme="1"/>
      <name val="Calibri"/>
      <family val="2"/>
      <scheme val="minor"/>
    </font>
    <font>
      <sz val="12"/>
      <color theme="1"/>
      <name val="Calibri"/>
      <family val="2"/>
      <scheme val="minor"/>
    </font>
    <font>
      <sz val="14"/>
      <color theme="1"/>
      <name val="Calibri"/>
      <family val="2"/>
      <scheme val="minor"/>
    </font>
  </fonts>
  <fills count="4">
    <fill>
      <patternFill patternType="none"/>
    </fill>
    <fill>
      <patternFill patternType="gray125"/>
    </fill>
    <fill>
      <patternFill patternType="solid">
        <fgColor rgb="FFF5F7FA"/>
        <bgColor indexed="64"/>
      </patternFill>
    </fill>
    <fill>
      <patternFill patternType="solid">
        <fgColor rgb="FFEDEDED"/>
        <bgColor indexed="64"/>
      </patternFill>
    </fill>
  </fills>
  <borders count="16">
    <border>
      <left/>
      <right/>
      <top/>
      <bottom/>
      <diagonal/>
    </border>
    <border>
      <left/>
      <right/>
      <top/>
      <bottom style="thin">
        <color theme="0"/>
      </bottom>
      <diagonal/>
    </border>
    <border>
      <left style="thick">
        <color theme="0"/>
      </left>
      <right style="thick">
        <color theme="0"/>
      </right>
      <top style="medium">
        <color indexed="64"/>
      </top>
      <bottom style="thick">
        <color theme="0"/>
      </bottom>
      <diagonal/>
    </border>
    <border>
      <left style="thick">
        <color theme="0"/>
      </left>
      <right style="thick">
        <color theme="0"/>
      </right>
      <top/>
      <bottom style="thick">
        <color theme="0"/>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thick">
        <color theme="0"/>
      </right>
      <top style="medium">
        <color indexed="64"/>
      </top>
      <bottom style="thick">
        <color theme="0"/>
      </bottom>
      <diagonal/>
    </border>
    <border>
      <left/>
      <right style="thick">
        <color theme="0"/>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medium">
        <color indexed="64"/>
      </top>
      <bottom style="thick">
        <color theme="0"/>
      </bottom>
      <diagonal/>
    </border>
    <border>
      <left style="thick">
        <color theme="0"/>
      </left>
      <right/>
      <top style="thick">
        <color theme="0"/>
      </top>
      <bottom style="thick">
        <color theme="0"/>
      </bottom>
      <diagonal/>
    </border>
    <border>
      <left style="thick">
        <color theme="0"/>
      </left>
      <right/>
      <top style="thick">
        <color theme="0"/>
      </top>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3" fontId="0" fillId="0" borderId="0" xfId="0" applyNumberFormat="1"/>
    <xf numFmtId="1"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4" fontId="0" fillId="0" borderId="0" xfId="0" applyNumberFormat="1" applyAlignment="1">
      <alignment horizontal="left"/>
    </xf>
    <xf numFmtId="0" fontId="0" fillId="0" borderId="1" xfId="0" applyBorder="1"/>
    <xf numFmtId="1" fontId="2" fillId="0" borderId="2" xfId="0" applyNumberFormat="1" applyFont="1" applyBorder="1" applyAlignment="1">
      <alignment horizontal="center" vertical="top"/>
    </xf>
    <xf numFmtId="1" fontId="2" fillId="0" borderId="3" xfId="0" applyNumberFormat="1" applyFont="1" applyBorder="1" applyAlignment="1">
      <alignment horizontal="center" vertical="top"/>
    </xf>
    <xf numFmtId="0" fontId="0" fillId="2" borderId="0" xfId="0" applyFill="1"/>
    <xf numFmtId="0" fontId="2" fillId="3" borderId="4" xfId="0" applyFont="1" applyFill="1" applyBorder="1" applyAlignment="1">
      <alignment horizontal="center" vertical="center"/>
    </xf>
    <xf numFmtId="165" fontId="0" fillId="0" borderId="0" xfId="0" applyNumberFormat="1"/>
    <xf numFmtId="0" fontId="3" fillId="0" borderId="0" xfId="0" applyFont="1"/>
    <xf numFmtId="0" fontId="0" fillId="3" borderId="0" xfId="0" applyFill="1"/>
    <xf numFmtId="0" fontId="2" fillId="3" borderId="8" xfId="0" applyFont="1" applyFill="1" applyBorder="1" applyAlignment="1">
      <alignment horizontal="center" vertical="center"/>
    </xf>
    <xf numFmtId="1" fontId="2" fillId="0" borderId="9" xfId="0" applyNumberFormat="1" applyFont="1" applyBorder="1" applyAlignment="1">
      <alignment horizontal="center" vertical="top"/>
    </xf>
    <xf numFmtId="1" fontId="2" fillId="0" borderId="10" xfId="0" applyNumberFormat="1" applyFont="1" applyBorder="1" applyAlignment="1">
      <alignment horizontal="center" vertical="top"/>
    </xf>
    <xf numFmtId="0" fontId="0" fillId="3" borderId="5" xfId="0" applyFill="1" applyBorder="1" applyAlignment="1">
      <alignment wrapText="1"/>
    </xf>
    <xf numFmtId="0" fontId="0" fillId="3" borderId="6" xfId="0" applyFill="1" applyBorder="1"/>
    <xf numFmtId="1" fontId="2" fillId="0" borderId="11" xfId="0" applyNumberFormat="1" applyFont="1" applyBorder="1" applyAlignment="1">
      <alignment horizontal="center" vertical="top"/>
    </xf>
    <xf numFmtId="1" fontId="2" fillId="0" borderId="12" xfId="0" applyNumberFormat="1" applyFont="1" applyBorder="1" applyAlignment="1">
      <alignment horizontal="center" vertical="top"/>
    </xf>
    <xf numFmtId="0" fontId="2" fillId="3" borderId="7" xfId="0" applyFont="1" applyFill="1" applyBorder="1" applyAlignment="1">
      <alignment horizontal="center" vertical="center"/>
    </xf>
    <xf numFmtId="1" fontId="2" fillId="0" borderId="13" xfId="0" applyNumberFormat="1" applyFont="1" applyBorder="1" applyAlignment="1">
      <alignment horizontal="center" vertical="top"/>
    </xf>
    <xf numFmtId="1" fontId="2" fillId="0" borderId="14" xfId="0" applyNumberFormat="1" applyFont="1" applyBorder="1" applyAlignment="1">
      <alignment horizontal="center" vertical="top"/>
    </xf>
    <xf numFmtId="1" fontId="2" fillId="0" borderId="15" xfId="0" applyNumberFormat="1" applyFont="1" applyBorder="1" applyAlignment="1">
      <alignment horizontal="center" vertical="top"/>
    </xf>
    <xf numFmtId="0" fontId="3" fillId="3" borderId="5" xfId="0" applyFont="1" applyFill="1" applyBorder="1" applyAlignment="1">
      <alignment horizontal="center"/>
    </xf>
  </cellXfs>
  <cellStyles count="2">
    <cellStyle name="Normal" xfId="0" builtinId="0"/>
    <cellStyle name="Percent" xfId="1" builtinId="5"/>
  </cellStyles>
  <dxfs count="26">
    <dxf>
      <numFmt numFmtId="1" formatCode="0"/>
    </dxf>
    <dxf>
      <numFmt numFmtId="1" formatCode="0"/>
    </dxf>
    <dxf>
      <numFmt numFmtId="1" formatCode="0"/>
    </dxf>
    <dxf>
      <numFmt numFmtId="1" formatCode="0"/>
    </dxf>
    <dxf>
      <numFmt numFmtId="1" formatCode="0"/>
    </dxf>
    <dxf>
      <numFmt numFmtId="165" formatCode="&quot;₹&quot;\ #,##0.0,\K"/>
    </dxf>
    <dxf>
      <numFmt numFmtId="1" formatCode="0"/>
    </dxf>
    <dxf>
      <numFmt numFmtId="1" formatCode="0"/>
    </dxf>
    <dxf>
      <numFmt numFmtId="164" formatCode="0%;\-0%;0%"/>
    </dxf>
    <dxf>
      <numFmt numFmtId="164" formatCode="0%;\-0%;0%"/>
    </dxf>
    <dxf>
      <numFmt numFmtId="164" formatCode="0%;\-0%;0%"/>
    </dxf>
    <dxf>
      <numFmt numFmtId="1" formatCode="0"/>
    </dxf>
    <dxf>
      <numFmt numFmtId="1" formatCode="0"/>
    </dxf>
    <dxf>
      <numFmt numFmtId="19" formatCode="dd/mm/yyyy"/>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diagonalUp="0" diagonalDown="0">
        <left/>
        <right/>
        <top/>
        <bottom/>
        <vertical/>
        <horizontal/>
      </border>
    </dxf>
    <dxf>
      <font>
        <b/>
        <i val="0"/>
      </font>
      <fill>
        <patternFill>
          <bgColor theme="0"/>
        </patternFill>
      </fill>
      <border>
        <left style="thin">
          <color theme="4" tint="0.39994506668294322"/>
        </left>
        <right style="thin">
          <color theme="4" tint="0.39994506668294322"/>
        </right>
        <top style="thin">
          <color theme="4" tint="0.39994506668294322"/>
        </top>
        <bottom style="thin">
          <color theme="4" tint="0.39994506668294322"/>
        </bottom>
      </border>
    </dxf>
    <dxf>
      <fill>
        <patternFill>
          <bgColor rgb="FFEDEDED"/>
        </patternFill>
      </fill>
      <border>
        <left style="thin">
          <color theme="4" tint="0.39994506668294322"/>
        </left>
        <right style="thin">
          <color theme="4" tint="0.39994506668294322"/>
        </right>
        <top style="thin">
          <color theme="4" tint="0.39994506668294322"/>
        </top>
        <bottom style="thin">
          <color theme="4" tint="0.39994506668294322"/>
        </bottom>
      </border>
    </dxf>
  </dxfs>
  <tableStyles count="3" defaultTableStyle="TableStyleMedium2" defaultPivotStyle="PivotStyleLight16">
    <tableStyle name="Invisible" pivot="0" table="0" count="0" xr9:uid="{C5CC2FC2-5AF1-4ECB-A81E-9611AFBBE095}"/>
    <tableStyle name="new slicer" pivot="0" table="0" count="5" xr9:uid="{27D2F5B7-9478-4CBE-A450-242CE93C4ECB}">
      <tableStyleElement type="wholeTable" dxfId="25"/>
      <tableStyleElement type="headerRow" dxfId="24"/>
    </tableStyle>
    <tableStyle name="Slicer Style 1" pivot="0" table="0" count="1" xr9:uid="{93CE26A0-902E-46DE-82A1-BB5106D37EB3}">
      <tableStyleElement type="wholeTable" dxfId="23"/>
    </tableStyle>
  </tableStyles>
  <colors>
    <mruColors>
      <color rgb="FF1F3A5F"/>
      <color rgb="FFF4A261"/>
      <color rgb="FF2A9D8F"/>
      <color rgb="FFF5F7FA"/>
      <color rgb="FFEDEDED"/>
      <color rgb="FFFFFFFF"/>
      <color rgb="FF2E5E7E"/>
      <color rgb="FF5A6C7D"/>
      <color rgb="FF000000"/>
    </mruColors>
  </colors>
  <extLst>
    <ext xmlns:x14="http://schemas.microsoft.com/office/spreadsheetml/2009/9/main" uri="{46F421CA-312F-682f-3DD2-61675219B42D}">
      <x14:dxfs count="3">
        <dxf>
          <fill>
            <patternFill>
              <bgColor theme="7" tint="0.39994506668294322"/>
            </patternFill>
          </fill>
        </dxf>
        <dxf>
          <fill>
            <patternFill>
              <bgColor theme="4" tint="0.39994506668294322"/>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new slicer">
          <x14:slicerStyleElements>
            <x14:slicerStyleElement type="selectedItemWithData" dxfId="2"/>
            <x14:slicerStyleElement type="hoveredUnselectedItemWithData" dxfId="1"/>
            <x14:slicerStyleElement type="hoveredSelectedItemWith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55" Type="http://schemas.openxmlformats.org/officeDocument/2006/relationships/customXml" Target="../customXml/item33.xml"/><Relationship Id="rId63" Type="http://schemas.openxmlformats.org/officeDocument/2006/relationships/customXml" Target="../customXml/item4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7.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8" Type="http://schemas.openxmlformats.org/officeDocument/2006/relationships/customXml" Target="../customXml/item36.xml"/><Relationship Id="rId5" Type="http://schemas.openxmlformats.org/officeDocument/2006/relationships/pivotCacheDefinition" Target="pivotCache/pivotCacheDefinition3.xml"/><Relationship Id="rId61" Type="http://schemas.openxmlformats.org/officeDocument/2006/relationships/customXml" Target="../customXml/item39.xml"/><Relationship Id="rId19" Type="http://schemas.openxmlformats.org/officeDocument/2006/relationships/styles" Target="styles.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56" Type="http://schemas.openxmlformats.org/officeDocument/2006/relationships/customXml" Target="../customXml/item34.xml"/><Relationship Id="rId8" Type="http://schemas.openxmlformats.org/officeDocument/2006/relationships/pivotCacheDefinition" Target="pivotCache/pivotCacheDefinition6.xml"/><Relationship Id="rId51" Type="http://schemas.openxmlformats.org/officeDocument/2006/relationships/customXml" Target="../customXml/item29.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59" Type="http://schemas.openxmlformats.org/officeDocument/2006/relationships/customXml" Target="../customXml/item37.xml"/><Relationship Id="rId20" Type="http://schemas.openxmlformats.org/officeDocument/2006/relationships/sharedStrings" Target="sharedStrings.xml"/><Relationship Id="rId41" Type="http://schemas.openxmlformats.org/officeDocument/2006/relationships/customXml" Target="../customXml/item19.xml"/><Relationship Id="rId54" Type="http://schemas.openxmlformats.org/officeDocument/2006/relationships/customXml" Target="../customXml/item32.xml"/><Relationship Id="rId62"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57" Type="http://schemas.openxmlformats.org/officeDocument/2006/relationships/customXml" Target="../customXml/item35.xml"/><Relationship Id="rId10" Type="http://schemas.openxmlformats.org/officeDocument/2006/relationships/pivotCacheDefinition" Target="pivotCache/pivotCacheDefinition8.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60" Type="http://schemas.openxmlformats.org/officeDocument/2006/relationships/customXml" Target="../customXml/item3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Analysis.xlsx]Calc.!SmokerCancer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'Calc.'!$C$10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58-49AE-9075-C0CBE845DF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58-49AE-9075-C0CBE845DF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58-49AE-9075-C0CBE845DF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B58-49AE-9075-C0CBE845DFFF}"/>
              </c:ext>
            </c:extLst>
          </c:dPt>
          <c:cat>
            <c:multiLvlStrRef>
              <c:f>'Calc.'!$B$11:$B$17</c:f>
              <c:multiLvlStrCache>
                <c:ptCount val="4"/>
                <c:lvl>
                  <c:pt idx="0">
                    <c:v>Cancer</c:v>
                  </c:pt>
                  <c:pt idx="1">
                    <c:v>No Cancer</c:v>
                  </c:pt>
                  <c:pt idx="2">
                    <c:v>Cancer</c:v>
                  </c:pt>
                  <c:pt idx="3">
                    <c:v>No Cancer</c:v>
                  </c:pt>
                </c:lvl>
                <c:lvl>
                  <c:pt idx="0">
                    <c:v>No Smoker</c:v>
                  </c:pt>
                  <c:pt idx="2">
                    <c:v>Smoker</c:v>
                  </c:pt>
                </c:lvl>
              </c:multiLvlStrCache>
            </c:multiLvlStrRef>
          </c:cat>
          <c:val>
            <c:numRef>
              <c:f>'Calc.'!$C$11:$C$17</c:f>
              <c:numCache>
                <c:formatCode>General</c:formatCode>
                <c:ptCount val="4"/>
                <c:pt idx="0">
                  <c:v>307</c:v>
                </c:pt>
                <c:pt idx="1">
                  <c:v>1540</c:v>
                </c:pt>
                <c:pt idx="2">
                  <c:v>84</c:v>
                </c:pt>
                <c:pt idx="3">
                  <c:v>404</c:v>
                </c:pt>
              </c:numCache>
            </c:numRef>
          </c:val>
          <c:extLst>
            <c:ext xmlns:c16="http://schemas.microsoft.com/office/drawing/2014/chart" uri="{C3380CC4-5D6E-409C-BE32-E72D297353CC}">
              <c16:uniqueId val="{00000000-E599-4401-9608-D107EDC2E6D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Analysis.xlsx]Calc.!SmokerCancerCharges</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'Calc.'!$C$19:$C$20</c:f>
              <c:strCache>
                <c:ptCount val="1"/>
                <c:pt idx="0">
                  <c:v>Cancer</c:v>
                </c:pt>
              </c:strCache>
            </c:strRef>
          </c:tx>
          <c:spPr>
            <a:solidFill>
              <a:schemeClr val="accent1"/>
            </a:solidFill>
            <a:ln>
              <a:noFill/>
            </a:ln>
            <a:effectLst/>
          </c:spPr>
          <c:invertIfNegative val="0"/>
          <c:cat>
            <c:strRef>
              <c:f>'Calc.'!$B$21:$B$23</c:f>
              <c:strCache>
                <c:ptCount val="2"/>
                <c:pt idx="0">
                  <c:v>No Smoker</c:v>
                </c:pt>
                <c:pt idx="1">
                  <c:v>Smoker</c:v>
                </c:pt>
              </c:strCache>
            </c:strRef>
          </c:cat>
          <c:val>
            <c:numRef>
              <c:f>'Calc.'!$C$21:$C$23</c:f>
              <c:numCache>
                <c:formatCode>0</c:formatCode>
                <c:ptCount val="2"/>
                <c:pt idx="0">
                  <c:v>307</c:v>
                </c:pt>
                <c:pt idx="1">
                  <c:v>84</c:v>
                </c:pt>
              </c:numCache>
            </c:numRef>
          </c:val>
          <c:extLst>
            <c:ext xmlns:c16="http://schemas.microsoft.com/office/drawing/2014/chart" uri="{C3380CC4-5D6E-409C-BE32-E72D297353CC}">
              <c16:uniqueId val="{00000000-D557-4F87-B94D-D79D4A2874A3}"/>
            </c:ext>
          </c:extLst>
        </c:ser>
        <c:ser>
          <c:idx val="1"/>
          <c:order val="1"/>
          <c:tx>
            <c:strRef>
              <c:f>'Calc.'!$D$19:$D$20</c:f>
              <c:strCache>
                <c:ptCount val="1"/>
                <c:pt idx="0">
                  <c:v>No Cancer</c:v>
                </c:pt>
              </c:strCache>
            </c:strRef>
          </c:tx>
          <c:spPr>
            <a:solidFill>
              <a:schemeClr val="accent2"/>
            </a:solidFill>
            <a:ln>
              <a:noFill/>
            </a:ln>
            <a:effectLst/>
          </c:spPr>
          <c:invertIfNegative val="0"/>
          <c:cat>
            <c:strRef>
              <c:f>'Calc.'!$B$21:$B$23</c:f>
              <c:strCache>
                <c:ptCount val="2"/>
                <c:pt idx="0">
                  <c:v>No Smoker</c:v>
                </c:pt>
                <c:pt idx="1">
                  <c:v>Smoker</c:v>
                </c:pt>
              </c:strCache>
            </c:strRef>
          </c:cat>
          <c:val>
            <c:numRef>
              <c:f>'Calc.'!$D$21:$D$23</c:f>
              <c:numCache>
                <c:formatCode>0</c:formatCode>
                <c:ptCount val="2"/>
                <c:pt idx="0">
                  <c:v>1540</c:v>
                </c:pt>
                <c:pt idx="1">
                  <c:v>404</c:v>
                </c:pt>
              </c:numCache>
            </c:numRef>
          </c:val>
          <c:extLst>
            <c:ext xmlns:c16="http://schemas.microsoft.com/office/drawing/2014/chart" uri="{C3380CC4-5D6E-409C-BE32-E72D297353CC}">
              <c16:uniqueId val="{00000004-E909-4477-882E-03A1B1D11EFD}"/>
            </c:ext>
          </c:extLst>
        </c:ser>
        <c:dLbls>
          <c:showLegendKey val="0"/>
          <c:showVal val="0"/>
          <c:showCatName val="0"/>
          <c:showSerName val="0"/>
          <c:showPercent val="0"/>
          <c:showBubbleSize val="0"/>
        </c:dLbls>
        <c:gapWidth val="219"/>
        <c:overlap val="-27"/>
        <c:axId val="2114620784"/>
        <c:axId val="1491159488"/>
      </c:barChart>
      <c:catAx>
        <c:axId val="211462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159488"/>
        <c:crosses val="autoZero"/>
        <c:auto val="1"/>
        <c:lblAlgn val="ctr"/>
        <c:lblOffset val="100"/>
        <c:noMultiLvlLbl val="0"/>
      </c:catAx>
      <c:valAx>
        <c:axId val="1491159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620784"/>
        <c:crosses val="autoZero"/>
        <c:crossBetween val="between"/>
      </c:valAx>
      <c:spPr>
        <a:noFill/>
        <a:ln w="0" cap="rnd">
          <a:solidFill>
            <a:schemeClr val="accent1">
              <a:alpha val="97000"/>
            </a:schemeClr>
          </a:solidFill>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Analysis.xlsx]Calc.!TransplantMajorSurgery</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'Calc.'!$C$29:$C$30</c:f>
              <c:strCache>
                <c:ptCount val="1"/>
                <c:pt idx="0">
                  <c:v>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95-47BD-93BA-DC9F718845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95-47BD-93BA-DC9F7188459C}"/>
              </c:ext>
            </c:extLst>
          </c:dPt>
          <c:cat>
            <c:strRef>
              <c:f>'Calc.'!$B$31:$B$33</c:f>
              <c:strCache>
                <c:ptCount val="2"/>
                <c:pt idx="0">
                  <c:v>No Transplant</c:v>
                </c:pt>
                <c:pt idx="1">
                  <c:v>Transplant</c:v>
                </c:pt>
              </c:strCache>
            </c:strRef>
          </c:cat>
          <c:val>
            <c:numRef>
              <c:f>'Calc.'!$C$31:$C$33</c:f>
              <c:numCache>
                <c:formatCode>General</c:formatCode>
                <c:ptCount val="2"/>
                <c:pt idx="0">
                  <c:v>839</c:v>
                </c:pt>
                <c:pt idx="1">
                  <c:v>126</c:v>
                </c:pt>
              </c:numCache>
            </c:numRef>
          </c:val>
          <c:extLst>
            <c:ext xmlns:c16="http://schemas.microsoft.com/office/drawing/2014/chart" uri="{C3380CC4-5D6E-409C-BE32-E72D297353CC}">
              <c16:uniqueId val="{00000000-14A4-4D32-9388-E92E6BAB66EE}"/>
            </c:ext>
          </c:extLst>
        </c:ser>
        <c:ser>
          <c:idx val="1"/>
          <c:order val="1"/>
          <c:tx>
            <c:strRef>
              <c:f>'Calc.'!$D$29:$D$30</c:f>
              <c:strCache>
                <c:ptCount val="1"/>
                <c:pt idx="0">
                  <c:v>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9B9-4CA9-8882-10E34CC81F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9B9-4CA9-8882-10E34CC81F00}"/>
              </c:ext>
            </c:extLst>
          </c:dPt>
          <c:cat>
            <c:strRef>
              <c:f>'Calc.'!$B$31:$B$33</c:f>
              <c:strCache>
                <c:ptCount val="2"/>
                <c:pt idx="0">
                  <c:v>No Transplant</c:v>
                </c:pt>
                <c:pt idx="1">
                  <c:v>Transplant</c:v>
                </c:pt>
              </c:strCache>
            </c:strRef>
          </c:cat>
          <c:val>
            <c:numRef>
              <c:f>'Calc.'!$D$31:$D$33</c:f>
              <c:numCache>
                <c:formatCode>General</c:formatCode>
                <c:ptCount val="2"/>
                <c:pt idx="0">
                  <c:v>256</c:v>
                </c:pt>
                <c:pt idx="1">
                  <c:v>18</c:v>
                </c:pt>
              </c:numCache>
            </c:numRef>
          </c:val>
          <c:extLst>
            <c:ext xmlns:c16="http://schemas.microsoft.com/office/drawing/2014/chart" uri="{C3380CC4-5D6E-409C-BE32-E72D297353CC}">
              <c16:uniqueId val="{0000000E-C5BF-42E2-9765-E3710A83C54F}"/>
            </c:ext>
          </c:extLst>
        </c:ser>
        <c:ser>
          <c:idx val="2"/>
          <c:order val="2"/>
          <c:tx>
            <c:strRef>
              <c:f>'Calc.'!$E$29:$E$30</c:f>
              <c:strCache>
                <c:ptCount val="1"/>
                <c:pt idx="0">
                  <c:v>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43D8-46BD-96FF-26DD2F5626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43D8-46BD-96FF-26DD2F56265F}"/>
              </c:ext>
            </c:extLst>
          </c:dPt>
          <c:cat>
            <c:strRef>
              <c:f>'Calc.'!$B$31:$B$33</c:f>
              <c:strCache>
                <c:ptCount val="2"/>
                <c:pt idx="0">
                  <c:v>No Transplant</c:v>
                </c:pt>
                <c:pt idx="1">
                  <c:v>Transplant</c:v>
                </c:pt>
              </c:strCache>
            </c:strRef>
          </c:cat>
          <c:val>
            <c:numRef>
              <c:f>'Calc.'!$E$31:$E$33</c:f>
              <c:numCache>
                <c:formatCode>General</c:formatCode>
                <c:ptCount val="2"/>
                <c:pt idx="0">
                  <c:v>22</c:v>
                </c:pt>
              </c:numCache>
            </c:numRef>
          </c:val>
          <c:extLst>
            <c:ext xmlns:c16="http://schemas.microsoft.com/office/drawing/2014/chart" uri="{C3380CC4-5D6E-409C-BE32-E72D297353CC}">
              <c16:uniqueId val="{0000000D-C9B9-4CA9-8882-10E34CC81F0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Analysis.xlsx]Calc.!PivotTable2</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'Calc.'!$C$48:$C$49</c:f>
              <c:strCache>
                <c:ptCount val="1"/>
                <c:pt idx="0">
                  <c:v>0</c:v>
                </c:pt>
              </c:strCache>
            </c:strRef>
          </c:tx>
          <c:spPr>
            <a:solidFill>
              <a:schemeClr val="accent1"/>
            </a:solidFill>
            <a:ln>
              <a:noFill/>
            </a:ln>
            <a:effectLst/>
          </c:spPr>
          <c:invertIfNegative val="0"/>
          <c:cat>
            <c:strRef>
              <c:f>'Calc.'!$B$50:$B$52</c:f>
              <c:strCache>
                <c:ptCount val="2"/>
                <c:pt idx="0">
                  <c:v>Have Issues</c:v>
                </c:pt>
                <c:pt idx="1">
                  <c:v>No Issues</c:v>
                </c:pt>
              </c:strCache>
            </c:strRef>
          </c:cat>
          <c:val>
            <c:numRef>
              <c:f>'Calc.'!$C$50:$C$52</c:f>
              <c:numCache>
                <c:formatCode>0</c:formatCode>
                <c:ptCount val="2"/>
                <c:pt idx="0">
                  <c:v>295</c:v>
                </c:pt>
                <c:pt idx="1">
                  <c:v>779</c:v>
                </c:pt>
              </c:numCache>
            </c:numRef>
          </c:val>
          <c:extLst>
            <c:ext xmlns:c16="http://schemas.microsoft.com/office/drawing/2014/chart" uri="{C3380CC4-5D6E-409C-BE32-E72D297353CC}">
              <c16:uniqueId val="{00000000-28BF-44BD-B601-8EE86CA79E22}"/>
            </c:ext>
          </c:extLst>
        </c:ser>
        <c:ser>
          <c:idx val="1"/>
          <c:order val="1"/>
          <c:tx>
            <c:strRef>
              <c:f>'Calc.'!$D$48:$D$49</c:f>
              <c:strCache>
                <c:ptCount val="1"/>
                <c:pt idx="0">
                  <c:v>1</c:v>
                </c:pt>
              </c:strCache>
            </c:strRef>
          </c:tx>
          <c:spPr>
            <a:solidFill>
              <a:schemeClr val="accent2"/>
            </a:solidFill>
            <a:ln>
              <a:noFill/>
            </a:ln>
            <a:effectLst/>
          </c:spPr>
          <c:invertIfNegative val="0"/>
          <c:cat>
            <c:strRef>
              <c:f>'Calc.'!$B$50:$B$52</c:f>
              <c:strCache>
                <c:ptCount val="2"/>
                <c:pt idx="0">
                  <c:v>Have Issues</c:v>
                </c:pt>
                <c:pt idx="1">
                  <c:v>No Issues</c:v>
                </c:pt>
              </c:strCache>
            </c:strRef>
          </c:cat>
          <c:val>
            <c:numRef>
              <c:f>'Calc.'!$D$50:$D$52</c:f>
              <c:numCache>
                <c:formatCode>0</c:formatCode>
                <c:ptCount val="2"/>
                <c:pt idx="0">
                  <c:v>466</c:v>
                </c:pt>
                <c:pt idx="1">
                  <c:v>499</c:v>
                </c:pt>
              </c:numCache>
            </c:numRef>
          </c:val>
          <c:extLst>
            <c:ext xmlns:c16="http://schemas.microsoft.com/office/drawing/2014/chart" uri="{C3380CC4-5D6E-409C-BE32-E72D297353CC}">
              <c16:uniqueId val="{00000009-DF5A-4D8A-8DD4-358EC8DEC5BF}"/>
            </c:ext>
          </c:extLst>
        </c:ser>
        <c:ser>
          <c:idx val="2"/>
          <c:order val="2"/>
          <c:tx>
            <c:strRef>
              <c:f>'Calc.'!$E$48:$E$49</c:f>
              <c:strCache>
                <c:ptCount val="1"/>
                <c:pt idx="0">
                  <c:v>2</c:v>
                </c:pt>
              </c:strCache>
            </c:strRef>
          </c:tx>
          <c:spPr>
            <a:solidFill>
              <a:schemeClr val="accent3"/>
            </a:solidFill>
            <a:ln>
              <a:noFill/>
            </a:ln>
            <a:effectLst/>
          </c:spPr>
          <c:invertIfNegative val="0"/>
          <c:cat>
            <c:strRef>
              <c:f>'Calc.'!$B$50:$B$52</c:f>
              <c:strCache>
                <c:ptCount val="2"/>
                <c:pt idx="0">
                  <c:v>Have Issues</c:v>
                </c:pt>
                <c:pt idx="1">
                  <c:v>No Issues</c:v>
                </c:pt>
              </c:strCache>
            </c:strRef>
          </c:cat>
          <c:val>
            <c:numRef>
              <c:f>'Calc.'!$E$50:$E$52</c:f>
              <c:numCache>
                <c:formatCode>0</c:formatCode>
                <c:ptCount val="2"/>
                <c:pt idx="0">
                  <c:v>165</c:v>
                </c:pt>
                <c:pt idx="1">
                  <c:v>109</c:v>
                </c:pt>
              </c:numCache>
            </c:numRef>
          </c:val>
          <c:extLst>
            <c:ext xmlns:c16="http://schemas.microsoft.com/office/drawing/2014/chart" uri="{C3380CC4-5D6E-409C-BE32-E72D297353CC}">
              <c16:uniqueId val="{0000000A-DF5A-4D8A-8DD4-358EC8DEC5BF}"/>
            </c:ext>
          </c:extLst>
        </c:ser>
        <c:ser>
          <c:idx val="3"/>
          <c:order val="3"/>
          <c:tx>
            <c:strRef>
              <c:f>'Calc.'!$F$48:$F$49</c:f>
              <c:strCache>
                <c:ptCount val="1"/>
                <c:pt idx="0">
                  <c:v>3</c:v>
                </c:pt>
              </c:strCache>
            </c:strRef>
          </c:tx>
          <c:spPr>
            <a:solidFill>
              <a:schemeClr val="accent4"/>
            </a:solidFill>
            <a:ln>
              <a:noFill/>
            </a:ln>
            <a:effectLst/>
          </c:spPr>
          <c:invertIfNegative val="0"/>
          <c:cat>
            <c:strRef>
              <c:f>'Calc.'!$B$50:$B$52</c:f>
              <c:strCache>
                <c:ptCount val="2"/>
                <c:pt idx="0">
                  <c:v>Have Issues</c:v>
                </c:pt>
                <c:pt idx="1">
                  <c:v>No Issues</c:v>
                </c:pt>
              </c:strCache>
            </c:strRef>
          </c:cat>
          <c:val>
            <c:numRef>
              <c:f>'Calc.'!$F$50:$F$52</c:f>
              <c:numCache>
                <c:formatCode>0</c:formatCode>
                <c:ptCount val="2"/>
                <c:pt idx="1">
                  <c:v>22</c:v>
                </c:pt>
              </c:numCache>
            </c:numRef>
          </c:val>
          <c:extLst>
            <c:ext xmlns:c16="http://schemas.microsoft.com/office/drawing/2014/chart" uri="{C3380CC4-5D6E-409C-BE32-E72D297353CC}">
              <c16:uniqueId val="{00000001-5C4C-490D-8ACB-351DB35A6723}"/>
            </c:ext>
          </c:extLst>
        </c:ser>
        <c:dLbls>
          <c:showLegendKey val="0"/>
          <c:showVal val="0"/>
          <c:showCatName val="0"/>
          <c:showSerName val="0"/>
          <c:showPercent val="0"/>
          <c:showBubbleSize val="0"/>
        </c:dLbls>
        <c:gapWidth val="182"/>
        <c:axId val="731087792"/>
        <c:axId val="731105552"/>
      </c:barChart>
      <c:catAx>
        <c:axId val="731087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05552"/>
        <c:crosses val="autoZero"/>
        <c:auto val="1"/>
        <c:lblAlgn val="ctr"/>
        <c:lblOffset val="100"/>
        <c:noMultiLvlLbl val="0"/>
      </c:catAx>
      <c:valAx>
        <c:axId val="7311055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08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'Calc.'!$F$55</c:f>
              <c:strCache>
                <c:ptCount val="1"/>
                <c:pt idx="0">
                  <c:v>Avg Charges</c:v>
                </c:pt>
              </c:strCache>
            </c:strRef>
          </c:tx>
          <c:spPr>
            <a:ln w="28575" cap="rnd">
              <a:solidFill>
                <a:schemeClr val="accent1"/>
              </a:solidFill>
              <a:round/>
            </a:ln>
            <a:effectLst/>
          </c:spPr>
          <c:marker>
            <c:symbol val="none"/>
          </c:marker>
          <c:cat>
            <c:strRef>
              <c:f>'Calc.'!$E$56:$E$61</c:f>
              <c:strCache>
                <c:ptCount val="6"/>
                <c:pt idx="0">
                  <c:v>Below 20</c:v>
                </c:pt>
                <c:pt idx="1">
                  <c:v>20-30</c:v>
                </c:pt>
                <c:pt idx="2">
                  <c:v>30-40</c:v>
                </c:pt>
                <c:pt idx="3">
                  <c:v>40-50</c:v>
                </c:pt>
                <c:pt idx="4">
                  <c:v>50-60</c:v>
                </c:pt>
                <c:pt idx="5">
                  <c:v>Above 60</c:v>
                </c:pt>
              </c:strCache>
            </c:strRef>
          </c:cat>
          <c:val>
            <c:numRef>
              <c:f>'Calc.'!$F$56:$F$61</c:f>
              <c:numCache>
                <c:formatCode>0</c:formatCode>
                <c:ptCount val="6"/>
                <c:pt idx="0">
                  <c:v>7376.8850458715597</c:v>
                </c:pt>
                <c:pt idx="1">
                  <c:v>9009.5903551401861</c:v>
                </c:pt>
                <c:pt idx="2">
                  <c:v>12361.605693877551</c:v>
                </c:pt>
                <c:pt idx="3">
                  <c:v>15372.623713163064</c:v>
                </c:pt>
                <c:pt idx="4">
                  <c:v>16509.799051383401</c:v>
                </c:pt>
                <c:pt idx="5">
                  <c:v>20066.326451612906</c:v>
                </c:pt>
              </c:numCache>
            </c:numRef>
          </c:val>
          <c:smooth val="0"/>
          <c:extLst>
            <c:ext xmlns:c16="http://schemas.microsoft.com/office/drawing/2014/chart" uri="{C3380CC4-5D6E-409C-BE32-E72D297353CC}">
              <c16:uniqueId val="{00000000-2A52-41A4-8FC8-A39BE768E539}"/>
            </c:ext>
          </c:extLst>
        </c:ser>
        <c:dLbls>
          <c:showLegendKey val="0"/>
          <c:showVal val="0"/>
          <c:showCatName val="0"/>
          <c:showSerName val="0"/>
          <c:showPercent val="0"/>
          <c:showBubbleSize val="0"/>
        </c:dLbls>
        <c:smooth val="0"/>
        <c:axId val="346654991"/>
        <c:axId val="184341103"/>
      </c:lineChart>
      <c:catAx>
        <c:axId val="34665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41103"/>
        <c:crosses val="autoZero"/>
        <c:auto val="1"/>
        <c:lblAlgn val="ctr"/>
        <c:lblOffset val="100"/>
        <c:noMultiLvlLbl val="0"/>
      </c:catAx>
      <c:valAx>
        <c:axId val="184341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5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Analysis.xlsx]Calc.!PivotTable6</c:name>
    <c:fmtId val="2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'Calc.'!$C$70</c:f>
              <c:strCache>
                <c:ptCount val="1"/>
                <c:pt idx="0">
                  <c:v>Avg. of BMI</c:v>
                </c:pt>
              </c:strCache>
            </c:strRef>
          </c:tx>
          <c:spPr>
            <a:ln w="28575" cap="rnd">
              <a:solidFill>
                <a:schemeClr val="accent1"/>
              </a:solidFill>
              <a:round/>
            </a:ln>
            <a:effectLst/>
          </c:spPr>
          <c:marker>
            <c:symbol val="none"/>
          </c:marker>
          <c:cat>
            <c:strRef>
              <c:f>'Calc.'!$B$71:$B$75</c:f>
              <c:strCache>
                <c:ptCount val="4"/>
                <c:pt idx="0">
                  <c:v>0</c:v>
                </c:pt>
                <c:pt idx="1">
                  <c:v>1</c:v>
                </c:pt>
                <c:pt idx="2">
                  <c:v>2</c:v>
                </c:pt>
                <c:pt idx="3">
                  <c:v>3</c:v>
                </c:pt>
              </c:strCache>
            </c:strRef>
          </c:cat>
          <c:val>
            <c:numRef>
              <c:f>'Calc.'!$C$71:$C$75</c:f>
              <c:numCache>
                <c:formatCode>0</c:formatCode>
                <c:ptCount val="4"/>
                <c:pt idx="0">
                  <c:v>30.929520484171324</c:v>
                </c:pt>
                <c:pt idx="1">
                  <c:v>30.799367875647668</c:v>
                </c:pt>
                <c:pt idx="2">
                  <c:v>31.591113138686133</c:v>
                </c:pt>
                <c:pt idx="3">
                  <c:v>32.976136363636364</c:v>
                </c:pt>
              </c:numCache>
            </c:numRef>
          </c:val>
          <c:smooth val="0"/>
          <c:extLst>
            <c:ext xmlns:c16="http://schemas.microsoft.com/office/drawing/2014/chart" uri="{C3380CC4-5D6E-409C-BE32-E72D297353CC}">
              <c16:uniqueId val="{00000000-7DBA-4786-BFE1-D8540D7485C0}"/>
            </c:ext>
          </c:extLst>
        </c:ser>
        <c:ser>
          <c:idx val="1"/>
          <c:order val="1"/>
          <c:tx>
            <c:strRef>
              <c:f>'Calc.'!$D$70</c:f>
              <c:strCache>
                <c:ptCount val="1"/>
                <c:pt idx="0">
                  <c:v>Avg. of HBA1C</c:v>
                </c:pt>
              </c:strCache>
            </c:strRef>
          </c:tx>
          <c:spPr>
            <a:ln w="28575" cap="rnd">
              <a:solidFill>
                <a:schemeClr val="accent2"/>
              </a:solidFill>
              <a:round/>
            </a:ln>
            <a:effectLst/>
          </c:spPr>
          <c:marker>
            <c:symbol val="none"/>
          </c:marker>
          <c:cat>
            <c:strRef>
              <c:f>'Calc.'!$B$71:$B$75</c:f>
              <c:strCache>
                <c:ptCount val="4"/>
                <c:pt idx="0">
                  <c:v>0</c:v>
                </c:pt>
                <c:pt idx="1">
                  <c:v>1</c:v>
                </c:pt>
                <c:pt idx="2">
                  <c:v>2</c:v>
                </c:pt>
                <c:pt idx="3">
                  <c:v>3</c:v>
                </c:pt>
              </c:strCache>
            </c:strRef>
          </c:cat>
          <c:val>
            <c:numRef>
              <c:f>'Calc.'!$D$71:$D$75</c:f>
              <c:numCache>
                <c:formatCode>0</c:formatCode>
                <c:ptCount val="4"/>
                <c:pt idx="0">
                  <c:v>7.1031378026070771</c:v>
                </c:pt>
                <c:pt idx="1">
                  <c:v>5.8116580310880828</c:v>
                </c:pt>
                <c:pt idx="2">
                  <c:v>7.0210948905109491</c:v>
                </c:pt>
                <c:pt idx="3">
                  <c:v>9.1436363636363627</c:v>
                </c:pt>
              </c:numCache>
            </c:numRef>
          </c:val>
          <c:smooth val="0"/>
          <c:extLst>
            <c:ext xmlns:c16="http://schemas.microsoft.com/office/drawing/2014/chart" uri="{C3380CC4-5D6E-409C-BE32-E72D297353CC}">
              <c16:uniqueId val="{00000001-7DBA-4786-BFE1-D8540D7485C0}"/>
            </c:ext>
          </c:extLst>
        </c:ser>
        <c:dLbls>
          <c:showLegendKey val="0"/>
          <c:showVal val="0"/>
          <c:showCatName val="0"/>
          <c:showSerName val="0"/>
          <c:showPercent val="0"/>
          <c:showBubbleSize val="0"/>
        </c:dLbls>
        <c:smooth val="0"/>
        <c:axId val="723652367"/>
        <c:axId val="723526607"/>
      </c:lineChart>
      <c:catAx>
        <c:axId val="72365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526607"/>
        <c:crosses val="autoZero"/>
        <c:auto val="1"/>
        <c:lblAlgn val="ctr"/>
        <c:lblOffset val="100"/>
        <c:noMultiLvlLbl val="0"/>
      </c:catAx>
      <c:valAx>
        <c:axId val="723526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5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Analysis.xlsx]Calc.!SmokerCancerCharges</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Smoker Cancer</a:t>
            </a:r>
            <a:r>
              <a:rPr lang="en-IN" baseline="0">
                <a:solidFill>
                  <a:schemeClr val="tx1"/>
                </a:solidFill>
              </a:rPr>
              <a:t> Status</a:t>
            </a:r>
            <a:endParaRPr lang="en-IN">
              <a:solidFill>
                <a:schemeClr val="tx1"/>
              </a:solidFill>
            </a:endParaRPr>
          </a:p>
        </c:rich>
      </c:tx>
      <c:layout>
        <c:manualLayout>
          <c:xMode val="edge"/>
          <c:yMode val="edge"/>
          <c:x val="0.27062995021498082"/>
          <c:y val="9.802482316829041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A9D8F"/>
          </a:solidFill>
          <a:ln>
            <a:noFill/>
          </a:ln>
          <a:effectLst/>
        </c:spPr>
        <c:marker>
          <c:symbol val="none"/>
        </c:marker>
        <c:dLbl>
          <c:idx val="0"/>
          <c:numFmt formatCode="&quot;₹&quot;\ #,##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4A261"/>
          </a:solidFill>
          <a:ln>
            <a:noFill/>
          </a:ln>
          <a:effectLst/>
        </c:spPr>
        <c:marker>
          <c:symbol val="none"/>
        </c:marker>
        <c:dLbl>
          <c:idx val="0"/>
          <c:numFmt formatCode="&quot;₹&quot;\ #,##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4A2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87078524553066"/>
          <c:y val="0.17991442549425249"/>
          <c:w val="0.62525147092102284"/>
          <c:h val="0.6601122893895216"/>
        </c:manualLayout>
      </c:layout>
      <c:barChart>
        <c:barDir val="col"/>
        <c:grouping val="clustered"/>
        <c:varyColors val="0"/>
        <c:ser>
          <c:idx val="0"/>
          <c:order val="0"/>
          <c:tx>
            <c:strRef>
              <c:f>'Calc.'!$C$19:$C$20</c:f>
              <c:strCache>
                <c:ptCount val="1"/>
                <c:pt idx="0">
                  <c:v>Cancer</c:v>
                </c:pt>
              </c:strCache>
            </c:strRef>
          </c:tx>
          <c:spPr>
            <a:solidFill>
              <a:srgbClr val="2A9D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'Calc.'!$B$21:$B$23</c:f>
              <c:strCache>
                <c:ptCount val="2"/>
                <c:pt idx="0">
                  <c:v>No Smoker</c:v>
                </c:pt>
                <c:pt idx="1">
                  <c:v>Smoker</c:v>
                </c:pt>
              </c:strCache>
            </c:strRef>
          </c:cat>
          <c:val>
            <c:numRef>
              <c:f>'Calc.'!$C$21:$C$23</c:f>
              <c:numCache>
                <c:formatCode>0</c:formatCode>
                <c:ptCount val="2"/>
                <c:pt idx="0">
                  <c:v>307</c:v>
                </c:pt>
                <c:pt idx="1">
                  <c:v>84</c:v>
                </c:pt>
              </c:numCache>
            </c:numRef>
          </c:val>
          <c:extLst>
            <c:ext xmlns:c16="http://schemas.microsoft.com/office/drawing/2014/chart" uri="{C3380CC4-5D6E-409C-BE32-E72D297353CC}">
              <c16:uniqueId val="{00000000-58CC-4BB7-94AE-6857EA5CE211}"/>
            </c:ext>
          </c:extLst>
        </c:ser>
        <c:ser>
          <c:idx val="1"/>
          <c:order val="1"/>
          <c:tx>
            <c:strRef>
              <c:f>'Calc.'!$D$19:$D$20</c:f>
              <c:strCache>
                <c:ptCount val="1"/>
                <c:pt idx="0">
                  <c:v>No Cancer</c:v>
                </c:pt>
              </c:strCache>
            </c:strRef>
          </c:tx>
          <c:spPr>
            <a:solidFill>
              <a:srgbClr val="F4A26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'Calc.'!$B$21:$B$23</c:f>
              <c:strCache>
                <c:ptCount val="2"/>
                <c:pt idx="0">
                  <c:v>No Smoker</c:v>
                </c:pt>
                <c:pt idx="1">
                  <c:v>Smoker</c:v>
                </c:pt>
              </c:strCache>
            </c:strRef>
          </c:cat>
          <c:val>
            <c:numRef>
              <c:f>'Calc.'!$D$21:$D$23</c:f>
              <c:numCache>
                <c:formatCode>0</c:formatCode>
                <c:ptCount val="2"/>
                <c:pt idx="0">
                  <c:v>1540</c:v>
                </c:pt>
                <c:pt idx="1">
                  <c:v>404</c:v>
                </c:pt>
              </c:numCache>
            </c:numRef>
          </c:val>
          <c:extLst>
            <c:ext xmlns:c16="http://schemas.microsoft.com/office/drawing/2014/chart" uri="{C3380CC4-5D6E-409C-BE32-E72D297353CC}">
              <c16:uniqueId val="{00000004-00E1-4C72-9AF9-26BA553D9E1F}"/>
            </c:ext>
          </c:extLst>
        </c:ser>
        <c:dLbls>
          <c:showLegendKey val="0"/>
          <c:showVal val="1"/>
          <c:showCatName val="0"/>
          <c:showSerName val="0"/>
          <c:showPercent val="0"/>
          <c:showBubbleSize val="0"/>
        </c:dLbls>
        <c:gapWidth val="219"/>
        <c:axId val="2114620784"/>
        <c:axId val="1491159488"/>
      </c:barChart>
      <c:catAx>
        <c:axId val="211462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91159488"/>
        <c:crosses val="autoZero"/>
        <c:auto val="1"/>
        <c:lblAlgn val="ctr"/>
        <c:lblOffset val="100"/>
        <c:noMultiLvlLbl val="0"/>
      </c:catAx>
      <c:valAx>
        <c:axId val="1491159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14620784"/>
        <c:crosses val="autoZero"/>
        <c:crossBetween val="between"/>
      </c:valAx>
      <c:spPr>
        <a:noFill/>
        <a:ln w="0" cap="rnd">
          <a:solidFill>
            <a:schemeClr val="accent1">
              <a:alpha val="97000"/>
            </a:schemeClr>
          </a:solidFill>
          <a:miter lim="800000"/>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Analysis.xlsx]Calc.!PivotTable2</c:name>
    <c:fmtId val="2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Heart</a:t>
            </a:r>
            <a:r>
              <a:rPr lang="en-IN" baseline="0">
                <a:solidFill>
                  <a:schemeClr val="tx1"/>
                </a:solidFill>
              </a:rPr>
              <a:t> Patients by Surgery Count</a:t>
            </a:r>
            <a:endParaRPr lang="en-IN">
              <a:solidFill>
                <a:schemeClr val="tx1"/>
              </a:solidFill>
            </a:endParaRPr>
          </a:p>
        </c:rich>
      </c:tx>
      <c:layout>
        <c:manualLayout>
          <c:xMode val="edge"/>
          <c:yMode val="edge"/>
          <c:x val="0.15995848040546656"/>
          <c:y val="1.46198830409356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4A2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51584985066521"/>
          <c:y val="0.18340643274853805"/>
          <c:w val="0.62321929586387903"/>
          <c:h val="0.64701558686743099"/>
        </c:manualLayout>
      </c:layout>
      <c:barChart>
        <c:barDir val="bar"/>
        <c:grouping val="clustered"/>
        <c:varyColors val="0"/>
        <c:ser>
          <c:idx val="0"/>
          <c:order val="0"/>
          <c:tx>
            <c:strRef>
              <c:f>'Calc.'!$C$48:$C$49</c:f>
              <c:strCache>
                <c:ptCount val="1"/>
                <c:pt idx="0">
                  <c:v>0</c:v>
                </c:pt>
              </c:strCache>
            </c:strRef>
          </c:tx>
          <c:spPr>
            <a:solidFill>
              <a:srgbClr val="2A9D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'Calc.'!$B$50:$B$52</c:f>
              <c:strCache>
                <c:ptCount val="2"/>
                <c:pt idx="0">
                  <c:v>Have Issues</c:v>
                </c:pt>
                <c:pt idx="1">
                  <c:v>No Issues</c:v>
                </c:pt>
              </c:strCache>
            </c:strRef>
          </c:cat>
          <c:val>
            <c:numRef>
              <c:f>'Calc.'!$C$50:$C$52</c:f>
              <c:numCache>
                <c:formatCode>0</c:formatCode>
                <c:ptCount val="2"/>
                <c:pt idx="0">
                  <c:v>295</c:v>
                </c:pt>
                <c:pt idx="1">
                  <c:v>779</c:v>
                </c:pt>
              </c:numCache>
            </c:numRef>
          </c:val>
          <c:extLst>
            <c:ext xmlns:c16="http://schemas.microsoft.com/office/drawing/2014/chart" uri="{C3380CC4-5D6E-409C-BE32-E72D297353CC}">
              <c16:uniqueId val="{00000000-F500-43A5-9BD4-E4FC0B9D3484}"/>
            </c:ext>
          </c:extLst>
        </c:ser>
        <c:ser>
          <c:idx val="1"/>
          <c:order val="1"/>
          <c:tx>
            <c:strRef>
              <c:f>'Calc.'!$D$48:$D$49</c:f>
              <c:strCache>
                <c:ptCount val="1"/>
                <c:pt idx="0">
                  <c:v>1</c:v>
                </c:pt>
              </c:strCache>
            </c:strRef>
          </c:tx>
          <c:spPr>
            <a:solidFill>
              <a:srgbClr val="F4A26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'Calc.'!$B$50:$B$52</c:f>
              <c:strCache>
                <c:ptCount val="2"/>
                <c:pt idx="0">
                  <c:v>Have Issues</c:v>
                </c:pt>
                <c:pt idx="1">
                  <c:v>No Issues</c:v>
                </c:pt>
              </c:strCache>
            </c:strRef>
          </c:cat>
          <c:val>
            <c:numRef>
              <c:f>'Calc.'!$D$50:$D$52</c:f>
              <c:numCache>
                <c:formatCode>0</c:formatCode>
                <c:ptCount val="2"/>
                <c:pt idx="0">
                  <c:v>466</c:v>
                </c:pt>
                <c:pt idx="1">
                  <c:v>499</c:v>
                </c:pt>
              </c:numCache>
            </c:numRef>
          </c:val>
          <c:extLst>
            <c:ext xmlns:c16="http://schemas.microsoft.com/office/drawing/2014/chart" uri="{C3380CC4-5D6E-409C-BE32-E72D297353CC}">
              <c16:uniqueId val="{0000000A-AFC9-4C8D-95B2-636C8C3621CF}"/>
            </c:ext>
          </c:extLst>
        </c:ser>
        <c:ser>
          <c:idx val="2"/>
          <c:order val="2"/>
          <c:tx>
            <c:strRef>
              <c:f>'Calc.'!$E$48:$E$49</c:f>
              <c:strCache>
                <c:ptCount val="1"/>
                <c:pt idx="0">
                  <c:v>2</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'Calc.'!$B$50:$B$52</c:f>
              <c:strCache>
                <c:ptCount val="2"/>
                <c:pt idx="0">
                  <c:v>Have Issues</c:v>
                </c:pt>
                <c:pt idx="1">
                  <c:v>No Issues</c:v>
                </c:pt>
              </c:strCache>
            </c:strRef>
          </c:cat>
          <c:val>
            <c:numRef>
              <c:f>'Calc.'!$E$50:$E$52</c:f>
              <c:numCache>
                <c:formatCode>0</c:formatCode>
                <c:ptCount val="2"/>
                <c:pt idx="0">
                  <c:v>165</c:v>
                </c:pt>
                <c:pt idx="1">
                  <c:v>109</c:v>
                </c:pt>
              </c:numCache>
            </c:numRef>
          </c:val>
          <c:extLst>
            <c:ext xmlns:c16="http://schemas.microsoft.com/office/drawing/2014/chart" uri="{C3380CC4-5D6E-409C-BE32-E72D297353CC}">
              <c16:uniqueId val="{0000000B-AFC9-4C8D-95B2-636C8C3621CF}"/>
            </c:ext>
          </c:extLst>
        </c:ser>
        <c:ser>
          <c:idx val="3"/>
          <c:order val="3"/>
          <c:tx>
            <c:strRef>
              <c:f>'Calc.'!$F$48:$F$49</c:f>
              <c:strCache>
                <c:ptCount val="1"/>
                <c:pt idx="0">
                  <c:v>3</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'Calc.'!$B$50:$B$52</c:f>
              <c:strCache>
                <c:ptCount val="2"/>
                <c:pt idx="0">
                  <c:v>Have Issues</c:v>
                </c:pt>
                <c:pt idx="1">
                  <c:v>No Issues</c:v>
                </c:pt>
              </c:strCache>
            </c:strRef>
          </c:cat>
          <c:val>
            <c:numRef>
              <c:f>'Calc.'!$F$50:$F$52</c:f>
              <c:numCache>
                <c:formatCode>0</c:formatCode>
                <c:ptCount val="2"/>
                <c:pt idx="1">
                  <c:v>22</c:v>
                </c:pt>
              </c:numCache>
            </c:numRef>
          </c:val>
          <c:extLst>
            <c:ext xmlns:c16="http://schemas.microsoft.com/office/drawing/2014/chart" uri="{C3380CC4-5D6E-409C-BE32-E72D297353CC}">
              <c16:uniqueId val="{00000002-7361-420B-80AF-C210B9CC56EB}"/>
            </c:ext>
          </c:extLst>
        </c:ser>
        <c:dLbls>
          <c:dLblPos val="outEnd"/>
          <c:showLegendKey val="0"/>
          <c:showVal val="1"/>
          <c:showCatName val="0"/>
          <c:showSerName val="0"/>
          <c:showPercent val="0"/>
          <c:showBubbleSize val="0"/>
        </c:dLbls>
        <c:gapWidth val="182"/>
        <c:axId val="731087792"/>
        <c:axId val="731105552"/>
      </c:barChart>
      <c:catAx>
        <c:axId val="731087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1105552"/>
        <c:crosses val="autoZero"/>
        <c:auto val="1"/>
        <c:lblAlgn val="ctr"/>
        <c:lblOffset val="100"/>
        <c:noMultiLvlLbl val="0"/>
      </c:catAx>
      <c:valAx>
        <c:axId val="7311055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108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solidFill>
                  <a:schemeClr val="dk1"/>
                </a:solidFill>
                <a:effectLst/>
              </a:rPr>
              <a:t>Avg. Charges across Age Groups</a:t>
            </a:r>
            <a:endParaRPr lang="en-IN" sz="2000" b="0">
              <a:effectLst/>
            </a:endParaRPr>
          </a:p>
        </c:rich>
      </c:tx>
      <c:layout>
        <c:manualLayout>
          <c:xMode val="edge"/>
          <c:yMode val="edge"/>
          <c:x val="0.1658488911518443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3525231952930528"/>
          <c:y val="0.19055843110190937"/>
          <c:w val="0.82523082145281734"/>
          <c:h val="0.64000402576489535"/>
        </c:manualLayout>
      </c:layout>
      <c:lineChart>
        <c:grouping val="standard"/>
        <c:varyColors val="0"/>
        <c:ser>
          <c:idx val="0"/>
          <c:order val="0"/>
          <c:tx>
            <c:strRef>
              <c:f>'Calc.'!$F$55</c:f>
              <c:strCache>
                <c:ptCount val="1"/>
                <c:pt idx="0">
                  <c:v>Avg Charges</c:v>
                </c:pt>
              </c:strCache>
            </c:strRef>
          </c:tx>
          <c:spPr>
            <a:ln w="28575" cap="rnd">
              <a:solidFill>
                <a:srgbClr val="2A9D8F"/>
              </a:solidFill>
              <a:round/>
            </a:ln>
            <a:effectLst/>
          </c:spPr>
          <c:marker>
            <c:symbol val="circle"/>
            <c:size val="5"/>
            <c:spPr>
              <a:solidFill>
                <a:schemeClr val="bg1"/>
              </a:solidFill>
              <a:ln w="9525">
                <a:solidFill>
                  <a:srgbClr val="1F3A5F"/>
                </a:solidFill>
              </a:ln>
              <a:effectLst/>
            </c:spPr>
          </c:marker>
          <c:dLbls>
            <c:numFmt formatCode="&quot;₹&quot;\ #,##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'Calc.'!$E$56:$E$61</c:f>
              <c:strCache>
                <c:ptCount val="6"/>
                <c:pt idx="0">
                  <c:v>Below 20</c:v>
                </c:pt>
                <c:pt idx="1">
                  <c:v>20-30</c:v>
                </c:pt>
                <c:pt idx="2">
                  <c:v>30-40</c:v>
                </c:pt>
                <c:pt idx="3">
                  <c:v>40-50</c:v>
                </c:pt>
                <c:pt idx="4">
                  <c:v>50-60</c:v>
                </c:pt>
                <c:pt idx="5">
                  <c:v>Above 60</c:v>
                </c:pt>
              </c:strCache>
            </c:strRef>
          </c:cat>
          <c:val>
            <c:numRef>
              <c:f>'Calc.'!$F$56:$F$61</c:f>
              <c:numCache>
                <c:formatCode>0</c:formatCode>
                <c:ptCount val="6"/>
                <c:pt idx="0">
                  <c:v>7376.8850458715597</c:v>
                </c:pt>
                <c:pt idx="1">
                  <c:v>9009.5903551401861</c:v>
                </c:pt>
                <c:pt idx="2">
                  <c:v>12361.605693877551</c:v>
                </c:pt>
                <c:pt idx="3">
                  <c:v>15372.623713163064</c:v>
                </c:pt>
                <c:pt idx="4">
                  <c:v>16509.799051383401</c:v>
                </c:pt>
                <c:pt idx="5">
                  <c:v>20066.326451612906</c:v>
                </c:pt>
              </c:numCache>
            </c:numRef>
          </c:val>
          <c:smooth val="0"/>
          <c:extLst>
            <c:ext xmlns:c16="http://schemas.microsoft.com/office/drawing/2014/chart" uri="{C3380CC4-5D6E-409C-BE32-E72D297353CC}">
              <c16:uniqueId val="{00000000-AC80-4D0D-B85C-3086DABA2DFC}"/>
            </c:ext>
          </c:extLst>
        </c:ser>
        <c:dLbls>
          <c:showLegendKey val="0"/>
          <c:showVal val="0"/>
          <c:showCatName val="0"/>
          <c:showSerName val="0"/>
          <c:showPercent val="0"/>
          <c:showBubbleSize val="0"/>
        </c:dLbls>
        <c:marker val="1"/>
        <c:smooth val="0"/>
        <c:axId val="346654991"/>
        <c:axId val="184341103"/>
      </c:lineChart>
      <c:catAx>
        <c:axId val="34665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341103"/>
        <c:crosses val="autoZero"/>
        <c:auto val="1"/>
        <c:lblAlgn val="ctr"/>
        <c:lblOffset val="100"/>
        <c:noMultiLvlLbl val="0"/>
      </c:catAx>
      <c:valAx>
        <c:axId val="184341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665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Analysis.xlsx]Calc.!TransplantMajorSurgery</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A9D8F"/>
          </a:solidFill>
          <a:ln w="19050">
            <a:solidFill>
              <a:schemeClr val="lt1"/>
            </a:solidFill>
          </a:ln>
          <a:effectLst/>
        </c:spPr>
      </c:pivotFmt>
      <c:pivotFmt>
        <c:idx val="17"/>
        <c:spPr>
          <a:solidFill>
            <a:srgbClr val="F4A26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manualLayout>
          <c:layoutTarget val="inner"/>
          <c:xMode val="edge"/>
          <c:yMode val="edge"/>
          <c:x val="0.23671534936998853"/>
          <c:y val="0.19750093315085049"/>
          <c:w val="0.3696973081328751"/>
          <c:h val="0.76487738694062779"/>
        </c:manualLayout>
      </c:layout>
      <c:pieChart>
        <c:varyColors val="1"/>
        <c:ser>
          <c:idx val="0"/>
          <c:order val="0"/>
          <c:tx>
            <c:strRef>
              <c:f>'Calc.'!$C$29:$C$30</c:f>
              <c:strCache>
                <c:ptCount val="1"/>
                <c:pt idx="0">
                  <c:v>1</c:v>
                </c:pt>
              </c:strCache>
            </c:strRef>
          </c:tx>
          <c:dPt>
            <c:idx val="0"/>
            <c:bubble3D val="0"/>
            <c:spPr>
              <a:solidFill>
                <a:srgbClr val="2A9D8F"/>
              </a:solidFill>
              <a:ln w="19050">
                <a:solidFill>
                  <a:schemeClr val="lt1"/>
                </a:solidFill>
              </a:ln>
              <a:effectLst/>
            </c:spPr>
            <c:extLst>
              <c:ext xmlns:c16="http://schemas.microsoft.com/office/drawing/2014/chart" uri="{C3380CC4-5D6E-409C-BE32-E72D297353CC}">
                <c16:uniqueId val="{00000001-29A3-4533-A086-D8F2847A0FAC}"/>
              </c:ext>
            </c:extLst>
          </c:dPt>
          <c:dPt>
            <c:idx val="1"/>
            <c:bubble3D val="0"/>
            <c:spPr>
              <a:solidFill>
                <a:srgbClr val="F4A261"/>
              </a:solidFill>
              <a:ln w="19050">
                <a:solidFill>
                  <a:schemeClr val="lt1"/>
                </a:solidFill>
              </a:ln>
              <a:effectLst/>
            </c:spPr>
            <c:extLst>
              <c:ext xmlns:c16="http://schemas.microsoft.com/office/drawing/2014/chart" uri="{C3380CC4-5D6E-409C-BE32-E72D297353CC}">
                <c16:uniqueId val="{00000003-29A3-4533-A086-D8F2847A0FA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'Calc.'!$B$31:$B$33</c:f>
              <c:strCache>
                <c:ptCount val="2"/>
                <c:pt idx="0">
                  <c:v>No Transplant</c:v>
                </c:pt>
                <c:pt idx="1">
                  <c:v>Transplant</c:v>
                </c:pt>
              </c:strCache>
            </c:strRef>
          </c:cat>
          <c:val>
            <c:numRef>
              <c:f>'Calc.'!$C$31:$C$33</c:f>
              <c:numCache>
                <c:formatCode>General</c:formatCode>
                <c:ptCount val="2"/>
                <c:pt idx="0">
                  <c:v>839</c:v>
                </c:pt>
                <c:pt idx="1">
                  <c:v>126</c:v>
                </c:pt>
              </c:numCache>
            </c:numRef>
          </c:val>
          <c:extLst>
            <c:ext xmlns:c16="http://schemas.microsoft.com/office/drawing/2014/chart" uri="{C3380CC4-5D6E-409C-BE32-E72D297353CC}">
              <c16:uniqueId val="{00000004-29A3-4533-A086-D8F2847A0FAC}"/>
            </c:ext>
          </c:extLst>
        </c:ser>
        <c:ser>
          <c:idx val="1"/>
          <c:order val="1"/>
          <c:tx>
            <c:strRef>
              <c:f>'Calc.'!$D$29:$D$30</c:f>
              <c:strCache>
                <c:ptCount val="1"/>
                <c:pt idx="0">
                  <c:v>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741-4426-A357-67E77E3D7F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741-4426-A357-67E77E3D7F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'Calc.'!$B$31:$B$33</c:f>
              <c:strCache>
                <c:ptCount val="2"/>
                <c:pt idx="0">
                  <c:v>No Transplant</c:v>
                </c:pt>
                <c:pt idx="1">
                  <c:v>Transplant</c:v>
                </c:pt>
              </c:strCache>
            </c:strRef>
          </c:cat>
          <c:val>
            <c:numRef>
              <c:f>'Calc.'!$D$31:$D$33</c:f>
              <c:numCache>
                <c:formatCode>General</c:formatCode>
                <c:ptCount val="2"/>
                <c:pt idx="0">
                  <c:v>256</c:v>
                </c:pt>
                <c:pt idx="1">
                  <c:v>18</c:v>
                </c:pt>
              </c:numCache>
            </c:numRef>
          </c:val>
          <c:extLst>
            <c:ext xmlns:c16="http://schemas.microsoft.com/office/drawing/2014/chart" uri="{C3380CC4-5D6E-409C-BE32-E72D297353CC}">
              <c16:uniqueId val="{00000016-29A3-4533-A086-D8F2847A0FAC}"/>
            </c:ext>
          </c:extLst>
        </c:ser>
        <c:ser>
          <c:idx val="2"/>
          <c:order val="2"/>
          <c:tx>
            <c:strRef>
              <c:f>'Calc.'!$E$29:$E$30</c:f>
              <c:strCache>
                <c:ptCount val="1"/>
                <c:pt idx="0">
                  <c:v>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B454-400A-8B34-C78CC8A575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B454-400A-8B34-C78CC8A575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'Calc.'!$B$31:$B$33</c:f>
              <c:strCache>
                <c:ptCount val="2"/>
                <c:pt idx="0">
                  <c:v>No Transplant</c:v>
                </c:pt>
                <c:pt idx="1">
                  <c:v>Transplant</c:v>
                </c:pt>
              </c:strCache>
            </c:strRef>
          </c:cat>
          <c:val>
            <c:numRef>
              <c:f>'Calc.'!$E$31:$E$33</c:f>
              <c:numCache>
                <c:formatCode>General</c:formatCode>
                <c:ptCount val="2"/>
                <c:pt idx="0">
                  <c:v>22</c:v>
                </c:pt>
              </c:numCache>
            </c:numRef>
          </c:val>
          <c:extLst>
            <c:ext xmlns:c16="http://schemas.microsoft.com/office/drawing/2014/chart" uri="{C3380CC4-5D6E-409C-BE32-E72D297353CC}">
              <c16:uniqueId val="{0000000E-7741-4426-A357-67E77E3D7FD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572479954180984"/>
          <c:y val="0.44074403227813219"/>
          <c:w val="0.24966008018327607"/>
          <c:h val="0.2539521160306429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Analysis.xlsx]Calc.!PivotTable6</c:name>
    <c:fmtId val="2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2A9D8F"/>
            </a:solidFill>
            <a:round/>
          </a:ln>
          <a:effectLst/>
        </c:spPr>
        <c:marker>
          <c:symbol val="circle"/>
          <c:size val="5"/>
          <c:spPr>
            <a:solidFill>
              <a:srgbClr val="FFFFFF"/>
            </a:solidFill>
            <a:ln w="9525">
              <a:solidFill>
                <a:srgbClr val="1F3A5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4A261"/>
            </a:solidFill>
            <a:round/>
          </a:ln>
          <a:effectLst/>
        </c:spPr>
        <c:marker>
          <c:symbol val="circle"/>
          <c:size val="5"/>
          <c:spPr>
            <a:solidFill>
              <a:srgbClr val="FFFFFF"/>
            </a:solidFill>
            <a:ln w="9525">
              <a:solidFill>
                <a:srgbClr val="1F3A5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172966781214209E-2"/>
          <c:y val="0.12787254205164653"/>
          <c:w val="0.87282130584192441"/>
          <c:h val="0.63839611466477142"/>
        </c:manualLayout>
      </c:layout>
      <c:lineChart>
        <c:grouping val="standard"/>
        <c:varyColors val="0"/>
        <c:ser>
          <c:idx val="0"/>
          <c:order val="0"/>
          <c:tx>
            <c:strRef>
              <c:f>'Calc.'!$C$70</c:f>
              <c:strCache>
                <c:ptCount val="1"/>
                <c:pt idx="0">
                  <c:v>Avg. of BMI</c:v>
                </c:pt>
              </c:strCache>
            </c:strRef>
          </c:tx>
          <c:spPr>
            <a:ln w="28575" cap="rnd">
              <a:solidFill>
                <a:srgbClr val="2A9D8F"/>
              </a:solidFill>
              <a:round/>
            </a:ln>
            <a:effectLst/>
          </c:spPr>
          <c:marker>
            <c:symbol val="circle"/>
            <c:size val="5"/>
            <c:spPr>
              <a:solidFill>
                <a:srgbClr val="FFFFFF"/>
              </a:solidFill>
              <a:ln w="9525">
                <a:solidFill>
                  <a:srgbClr val="1F3A5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'Calc.'!$B$71:$B$75</c:f>
              <c:strCache>
                <c:ptCount val="4"/>
                <c:pt idx="0">
                  <c:v>0</c:v>
                </c:pt>
                <c:pt idx="1">
                  <c:v>1</c:v>
                </c:pt>
                <c:pt idx="2">
                  <c:v>2</c:v>
                </c:pt>
                <c:pt idx="3">
                  <c:v>3</c:v>
                </c:pt>
              </c:strCache>
            </c:strRef>
          </c:cat>
          <c:val>
            <c:numRef>
              <c:f>'Calc.'!$C$71:$C$75</c:f>
              <c:numCache>
                <c:formatCode>0</c:formatCode>
                <c:ptCount val="4"/>
                <c:pt idx="0">
                  <c:v>30.929520484171324</c:v>
                </c:pt>
                <c:pt idx="1">
                  <c:v>30.799367875647668</c:v>
                </c:pt>
                <c:pt idx="2">
                  <c:v>31.591113138686133</c:v>
                </c:pt>
                <c:pt idx="3">
                  <c:v>32.976136363636364</c:v>
                </c:pt>
              </c:numCache>
            </c:numRef>
          </c:val>
          <c:smooth val="0"/>
          <c:extLst>
            <c:ext xmlns:c16="http://schemas.microsoft.com/office/drawing/2014/chart" uri="{C3380CC4-5D6E-409C-BE32-E72D297353CC}">
              <c16:uniqueId val="{00000000-3EA3-4F6F-9E1A-F0A27D4A8F75}"/>
            </c:ext>
          </c:extLst>
        </c:ser>
        <c:ser>
          <c:idx val="1"/>
          <c:order val="1"/>
          <c:tx>
            <c:strRef>
              <c:f>'Calc.'!$D$70</c:f>
              <c:strCache>
                <c:ptCount val="1"/>
                <c:pt idx="0">
                  <c:v>Avg. of HBA1C</c:v>
                </c:pt>
              </c:strCache>
            </c:strRef>
          </c:tx>
          <c:spPr>
            <a:ln w="28575" cap="rnd">
              <a:solidFill>
                <a:srgbClr val="F4A261"/>
              </a:solidFill>
              <a:round/>
            </a:ln>
            <a:effectLst/>
          </c:spPr>
          <c:marker>
            <c:symbol val="circle"/>
            <c:size val="5"/>
            <c:spPr>
              <a:solidFill>
                <a:srgbClr val="FFFFFF"/>
              </a:solidFill>
              <a:ln w="9525">
                <a:solidFill>
                  <a:srgbClr val="1F3A5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'Calc.'!$B$71:$B$75</c:f>
              <c:strCache>
                <c:ptCount val="4"/>
                <c:pt idx="0">
                  <c:v>0</c:v>
                </c:pt>
                <c:pt idx="1">
                  <c:v>1</c:v>
                </c:pt>
                <c:pt idx="2">
                  <c:v>2</c:v>
                </c:pt>
                <c:pt idx="3">
                  <c:v>3</c:v>
                </c:pt>
              </c:strCache>
            </c:strRef>
          </c:cat>
          <c:val>
            <c:numRef>
              <c:f>'Calc.'!$D$71:$D$75</c:f>
              <c:numCache>
                <c:formatCode>0</c:formatCode>
                <c:ptCount val="4"/>
                <c:pt idx="0">
                  <c:v>7.1031378026070771</c:v>
                </c:pt>
                <c:pt idx="1">
                  <c:v>5.8116580310880828</c:v>
                </c:pt>
                <c:pt idx="2">
                  <c:v>7.0210948905109491</c:v>
                </c:pt>
                <c:pt idx="3">
                  <c:v>9.1436363636363627</c:v>
                </c:pt>
              </c:numCache>
            </c:numRef>
          </c:val>
          <c:smooth val="0"/>
          <c:extLst>
            <c:ext xmlns:c16="http://schemas.microsoft.com/office/drawing/2014/chart" uri="{C3380CC4-5D6E-409C-BE32-E72D297353CC}">
              <c16:uniqueId val="{00000001-3EA3-4F6F-9E1A-F0A27D4A8F75}"/>
            </c:ext>
          </c:extLst>
        </c:ser>
        <c:dLbls>
          <c:dLblPos val="t"/>
          <c:showLegendKey val="0"/>
          <c:showVal val="1"/>
          <c:showCatName val="0"/>
          <c:showSerName val="0"/>
          <c:showPercent val="0"/>
          <c:showBubbleSize val="0"/>
        </c:dLbls>
        <c:marker val="1"/>
        <c:smooth val="0"/>
        <c:axId val="723652367"/>
        <c:axId val="723526607"/>
      </c:lineChart>
      <c:catAx>
        <c:axId val="72365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3526607"/>
        <c:crosses val="autoZero"/>
        <c:auto val="1"/>
        <c:lblAlgn val="ctr"/>
        <c:lblOffset val="100"/>
        <c:noMultiLvlLbl val="0"/>
      </c:catAx>
      <c:valAx>
        <c:axId val="723526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3652367"/>
        <c:crosses val="autoZero"/>
        <c:crossBetween val="between"/>
      </c:valAx>
      <c:spPr>
        <a:noFill/>
        <a:ln>
          <a:noFill/>
        </a:ln>
        <a:effectLst/>
      </c:spPr>
    </c:plotArea>
    <c:legend>
      <c:legendPos val="b"/>
      <c:layout>
        <c:manualLayout>
          <c:xMode val="edge"/>
          <c:yMode val="edge"/>
          <c:x val="0.18336053837342497"/>
          <c:y val="0.87306680881307752"/>
          <c:w val="0.63327863688430697"/>
          <c:h val="0.1269331911869225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image" Target="../media/image2.emf"/><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7620</xdr:colOff>
      <xdr:row>8</xdr:row>
      <xdr:rowOff>83820</xdr:rowOff>
    </xdr:from>
    <xdr:to>
      <xdr:col>7</xdr:col>
      <xdr:colOff>342900</xdr:colOff>
      <xdr:row>17</xdr:row>
      <xdr:rowOff>83820</xdr:rowOff>
    </xdr:to>
    <xdr:graphicFrame macro="">
      <xdr:nvGraphicFramePr>
        <xdr:cNvPr id="2" name="Chart 1">
          <a:extLst>
            <a:ext uri="{FF2B5EF4-FFF2-40B4-BE49-F238E27FC236}">
              <a16:creationId xmlns:a16="http://schemas.microsoft.com/office/drawing/2014/main" id="{75A6BB0C-A0FC-8D87-51D7-C4CEE2650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198120</xdr:colOff>
      <xdr:row>17</xdr:row>
      <xdr:rowOff>129540</xdr:rowOff>
    </xdr:from>
    <xdr:to>
      <xdr:col>9</xdr:col>
      <xdr:colOff>121920</xdr:colOff>
      <xdr:row>23</xdr:row>
      <xdr:rowOff>144780</xdr:rowOff>
    </xdr:to>
    <xdr:graphicFrame macro="">
      <xdr:nvGraphicFramePr>
        <xdr:cNvPr id="3" name="Chart 2">
          <a:extLst>
            <a:ext uri="{FF2B5EF4-FFF2-40B4-BE49-F238E27FC236}">
              <a16:creationId xmlns:a16="http://schemas.microsoft.com/office/drawing/2014/main" id="{8067DE85-8641-3C13-BCE0-F3556590C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510540</xdr:colOff>
      <xdr:row>24</xdr:row>
      <xdr:rowOff>22860</xdr:rowOff>
    </xdr:from>
    <xdr:to>
      <xdr:col>10</xdr:col>
      <xdr:colOff>297180</xdr:colOff>
      <xdr:row>33</xdr:row>
      <xdr:rowOff>160020</xdr:rowOff>
    </xdr:to>
    <xdr:graphicFrame macro="">
      <xdr:nvGraphicFramePr>
        <xdr:cNvPr id="4" name="Chart 3">
          <a:extLst>
            <a:ext uri="{FF2B5EF4-FFF2-40B4-BE49-F238E27FC236}">
              <a16:creationId xmlns:a16="http://schemas.microsoft.com/office/drawing/2014/main" id="{F3FBC8FE-2027-16D3-3EE0-DA84396D5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556260</xdr:colOff>
      <xdr:row>33</xdr:row>
      <xdr:rowOff>53340</xdr:rowOff>
    </xdr:from>
    <xdr:to>
      <xdr:col>11</xdr:col>
      <xdr:colOff>327660</xdr:colOff>
      <xdr:row>46</xdr:row>
      <xdr:rowOff>163830</xdr:rowOff>
    </xdr:to>
    <xdr:graphicFrame macro="">
      <xdr:nvGraphicFramePr>
        <xdr:cNvPr id="12" name="Chart 11">
          <a:extLst>
            <a:ext uri="{FF2B5EF4-FFF2-40B4-BE49-F238E27FC236}">
              <a16:creationId xmlns:a16="http://schemas.microsoft.com/office/drawing/2014/main" id="{2E0E4BC1-6A6D-3B98-91F6-4690D88AB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426720</xdr:colOff>
      <xdr:row>53</xdr:row>
      <xdr:rowOff>114300</xdr:rowOff>
    </xdr:from>
    <xdr:to>
      <xdr:col>10</xdr:col>
      <xdr:colOff>320040</xdr:colOff>
      <xdr:row>64</xdr:row>
      <xdr:rowOff>0</xdr:rowOff>
    </xdr:to>
    <xdr:graphicFrame macro="">
      <xdr:nvGraphicFramePr>
        <xdr:cNvPr id="6" name="Chart 5">
          <a:extLst>
            <a:ext uri="{FF2B5EF4-FFF2-40B4-BE49-F238E27FC236}">
              <a16:creationId xmlns:a16="http://schemas.microsoft.com/office/drawing/2014/main" id="{4A18B64F-FA34-4AD1-8EB0-708755CD0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76200</xdr:colOff>
      <xdr:row>65</xdr:row>
      <xdr:rowOff>26670</xdr:rowOff>
    </xdr:from>
    <xdr:to>
      <xdr:col>10</xdr:col>
      <xdr:colOff>121920</xdr:colOff>
      <xdr:row>80</xdr:row>
      <xdr:rowOff>26670</xdr:rowOff>
    </xdr:to>
    <xdr:graphicFrame macro="">
      <xdr:nvGraphicFramePr>
        <xdr:cNvPr id="5" name="Chart 4">
          <a:extLst>
            <a:ext uri="{FF2B5EF4-FFF2-40B4-BE49-F238E27FC236}">
              <a16:creationId xmlns:a16="http://schemas.microsoft.com/office/drawing/2014/main" id="{12A789E1-D2F5-5172-8A99-C2A175BDC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53340</xdr:rowOff>
    </xdr:from>
    <xdr:to>
      <xdr:col>22</xdr:col>
      <xdr:colOff>22860</xdr:colOff>
      <xdr:row>27</xdr:row>
      <xdr:rowOff>83820</xdr:rowOff>
    </xdr:to>
    <xdr:sp macro="" textlink="">
      <xdr:nvSpPr>
        <xdr:cNvPr id="33" name="Rectangle: Rounded Corners 32">
          <a:extLst>
            <a:ext uri="{FF2B5EF4-FFF2-40B4-BE49-F238E27FC236}">
              <a16:creationId xmlns:a16="http://schemas.microsoft.com/office/drawing/2014/main" id="{F602D894-C47B-1A83-0856-6E4175EBF1D5}"/>
            </a:ext>
          </a:extLst>
        </xdr:cNvPr>
        <xdr:cNvSpPr/>
      </xdr:nvSpPr>
      <xdr:spPr>
        <a:xfrm>
          <a:off x="76200" y="53340"/>
          <a:ext cx="13357860" cy="4968240"/>
        </a:xfrm>
        <a:prstGeom prst="roundRect">
          <a:avLst>
            <a:gd name="adj" fmla="val 3989"/>
          </a:avLst>
        </a:prstGeom>
        <a:solidFill>
          <a:srgbClr val="F5F7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586740</xdr:colOff>
      <xdr:row>6</xdr:row>
      <xdr:rowOff>125730</xdr:rowOff>
    </xdr:from>
    <xdr:to>
      <xdr:col>21</xdr:col>
      <xdr:colOff>464340</xdr:colOff>
      <xdr:row>16</xdr:row>
      <xdr:rowOff>96930</xdr:rowOff>
    </xdr:to>
    <xdr:sp macro="" textlink="">
      <xdr:nvSpPr>
        <xdr:cNvPr id="25" name="Rectangle: Rounded Corners 24">
          <a:extLst>
            <a:ext uri="{FF2B5EF4-FFF2-40B4-BE49-F238E27FC236}">
              <a16:creationId xmlns:a16="http://schemas.microsoft.com/office/drawing/2014/main" id="{8B0AA35D-1F92-016B-873F-95FB52C47362}"/>
            </a:ext>
          </a:extLst>
        </xdr:cNvPr>
        <xdr:cNvSpPr/>
      </xdr:nvSpPr>
      <xdr:spPr>
        <a:xfrm>
          <a:off x="9730740" y="1223010"/>
          <a:ext cx="3535200" cy="1800000"/>
        </a:xfrm>
        <a:prstGeom prst="roundRect">
          <a:avLst>
            <a:gd name="adj" fmla="val 6588"/>
          </a:avLst>
        </a:prstGeom>
        <a:solidFill>
          <a:srgbClr val="EDEDED">
            <a:alpha val="70980"/>
          </a:srgbClr>
        </a:solidFill>
        <a:ln w="12700">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198120</xdr:colOff>
      <xdr:row>0</xdr:row>
      <xdr:rowOff>114300</xdr:rowOff>
    </xdr:from>
    <xdr:to>
      <xdr:col>21</xdr:col>
      <xdr:colOff>548640</xdr:colOff>
      <xdr:row>2</xdr:row>
      <xdr:rowOff>144540</xdr:rowOff>
    </xdr:to>
    <xdr:sp macro="" textlink="">
      <xdr:nvSpPr>
        <xdr:cNvPr id="4" name="Rectangle: Rounded Corners 3">
          <a:extLst>
            <a:ext uri="{FF2B5EF4-FFF2-40B4-BE49-F238E27FC236}">
              <a16:creationId xmlns:a16="http://schemas.microsoft.com/office/drawing/2014/main" id="{C55C2A5B-3F9D-2D03-6F28-7E06808689CD}"/>
            </a:ext>
          </a:extLst>
        </xdr:cNvPr>
        <xdr:cNvSpPr/>
      </xdr:nvSpPr>
      <xdr:spPr>
        <a:xfrm>
          <a:off x="2026920" y="114300"/>
          <a:ext cx="11323320" cy="396000"/>
        </a:xfrm>
        <a:prstGeom prst="roundRect">
          <a:avLst>
            <a:gd name="adj" fmla="val 1347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297180</xdr:colOff>
      <xdr:row>0</xdr:row>
      <xdr:rowOff>122430</xdr:rowOff>
    </xdr:from>
    <xdr:to>
      <xdr:col>11</xdr:col>
      <xdr:colOff>266700</xdr:colOff>
      <xdr:row>2</xdr:row>
      <xdr:rowOff>114810</xdr:rowOff>
    </xdr:to>
    <xdr:sp macro="" textlink="">
      <xdr:nvSpPr>
        <xdr:cNvPr id="2" name="Rectangle: Rounded Corners 1">
          <a:extLst>
            <a:ext uri="{FF2B5EF4-FFF2-40B4-BE49-F238E27FC236}">
              <a16:creationId xmlns:a16="http://schemas.microsoft.com/office/drawing/2014/main" id="{37AD8752-584B-EC3C-97B8-6A63E7A4FE63}"/>
            </a:ext>
          </a:extLst>
        </xdr:cNvPr>
        <xdr:cNvSpPr/>
      </xdr:nvSpPr>
      <xdr:spPr>
        <a:xfrm>
          <a:off x="2125980" y="122430"/>
          <a:ext cx="4846320" cy="35814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800" b="1" baseline="0">
              <a:solidFill>
                <a:srgbClr val="1F3A5F"/>
              </a:solidFill>
            </a:rPr>
            <a:t>Healthcare Analysis Dashboard</a:t>
          </a:r>
          <a:endParaRPr lang="en-IN" sz="2800" b="1">
            <a:solidFill>
              <a:srgbClr val="1F3A5F"/>
            </a:solidFill>
          </a:endParaRPr>
        </a:p>
      </xdr:txBody>
    </xdr:sp>
    <xdr:clientData/>
  </xdr:twoCellAnchor>
  <xdr:twoCellAnchor>
    <xdr:from>
      <xdr:col>9</xdr:col>
      <xdr:colOff>7620</xdr:colOff>
      <xdr:row>3</xdr:row>
      <xdr:rowOff>15240</xdr:rowOff>
    </xdr:from>
    <xdr:to>
      <xdr:col>10</xdr:col>
      <xdr:colOff>449580</xdr:colOff>
      <xdr:row>6</xdr:row>
      <xdr:rowOff>83820</xdr:rowOff>
    </xdr:to>
    <xdr:grpSp>
      <xdr:nvGrpSpPr>
        <xdr:cNvPr id="32" name="Group 31">
          <a:extLst>
            <a:ext uri="{FF2B5EF4-FFF2-40B4-BE49-F238E27FC236}">
              <a16:creationId xmlns:a16="http://schemas.microsoft.com/office/drawing/2014/main" id="{EF2C7DDA-352F-77B6-DD1C-1FFA128C766E}"/>
            </a:ext>
          </a:extLst>
        </xdr:cNvPr>
        <xdr:cNvGrpSpPr/>
      </xdr:nvGrpSpPr>
      <xdr:grpSpPr>
        <a:xfrm>
          <a:off x="5494020" y="563880"/>
          <a:ext cx="1051560" cy="617220"/>
          <a:chOff x="4724400" y="670560"/>
          <a:chExt cx="1051560" cy="617220"/>
        </a:xfrm>
      </xdr:grpSpPr>
      <xdr:sp macro="" textlink="">
        <xdr:nvSpPr>
          <xdr:cNvPr id="6" name="Rectangle: Rounded Corners 5">
            <a:extLst>
              <a:ext uri="{FF2B5EF4-FFF2-40B4-BE49-F238E27FC236}">
                <a16:creationId xmlns:a16="http://schemas.microsoft.com/office/drawing/2014/main" id="{AAE208A3-54DF-C479-62F6-421706A48CEF}"/>
              </a:ext>
            </a:extLst>
          </xdr:cNvPr>
          <xdr:cNvSpPr/>
        </xdr:nvSpPr>
        <xdr:spPr>
          <a:xfrm>
            <a:off x="4724400" y="685800"/>
            <a:ext cx="1051560" cy="540000"/>
          </a:xfrm>
          <a:prstGeom prst="roundRect">
            <a:avLst/>
          </a:prstGeom>
          <a:solidFill>
            <a:srgbClr val="FFFFFF"/>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Calc.'!D7">
        <xdr:nvSpPr>
          <xdr:cNvPr id="11" name="TextBox 10">
            <a:extLst>
              <a:ext uri="{FF2B5EF4-FFF2-40B4-BE49-F238E27FC236}">
                <a16:creationId xmlns:a16="http://schemas.microsoft.com/office/drawing/2014/main" id="{061A6F99-62BD-EEC3-1397-31D8169D3DA3}"/>
              </a:ext>
            </a:extLst>
          </xdr:cNvPr>
          <xdr:cNvSpPr txBox="1"/>
        </xdr:nvSpPr>
        <xdr:spPr>
          <a:xfrm>
            <a:off x="4953510" y="891540"/>
            <a:ext cx="5400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BE51F5-1D19-4875-89FC-043473560818}" type="TxLink">
              <a:rPr lang="en-US" sz="1800" b="1" i="0" u="none" strike="noStrike">
                <a:solidFill>
                  <a:srgbClr val="1F3A5F"/>
                </a:solidFill>
                <a:latin typeface="Calibri"/>
                <a:ea typeface="Calibri"/>
                <a:cs typeface="Calibri"/>
              </a:rPr>
              <a:pPr/>
              <a:t>488</a:t>
            </a:fld>
            <a:endParaRPr lang="en-US" sz="2400" b="1">
              <a:solidFill>
                <a:srgbClr val="1F3A5F"/>
              </a:solidFill>
            </a:endParaRPr>
          </a:p>
        </xdr:txBody>
      </xdr:sp>
      <xdr:sp macro="" textlink="">
        <xdr:nvSpPr>
          <xdr:cNvPr id="24" name="TextBox 23">
            <a:extLst>
              <a:ext uri="{FF2B5EF4-FFF2-40B4-BE49-F238E27FC236}">
                <a16:creationId xmlns:a16="http://schemas.microsoft.com/office/drawing/2014/main" id="{09407631-95EA-979F-9A97-1CBEF157B1CC}"/>
              </a:ext>
            </a:extLst>
          </xdr:cNvPr>
          <xdr:cNvSpPr txBox="1"/>
        </xdr:nvSpPr>
        <xdr:spPr>
          <a:xfrm>
            <a:off x="4770120" y="670560"/>
            <a:ext cx="9067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5A6C7D"/>
                </a:solidFill>
                <a:effectLst/>
                <a:latin typeface="+mn-lt"/>
                <a:ea typeface="+mn-ea"/>
                <a:cs typeface="+mn-cs"/>
              </a:rPr>
              <a:t>Smokers</a:t>
            </a:r>
            <a:endParaRPr lang="en-IN" sz="1600">
              <a:solidFill>
                <a:srgbClr val="5A6C7D"/>
              </a:solidFill>
            </a:endParaRPr>
          </a:p>
        </xdr:txBody>
      </xdr:sp>
    </xdr:grpSp>
    <xdr:clientData/>
  </xdr:twoCellAnchor>
  <xdr:twoCellAnchor>
    <xdr:from>
      <xdr:col>10</xdr:col>
      <xdr:colOff>601980</xdr:colOff>
      <xdr:row>3</xdr:row>
      <xdr:rowOff>19560</xdr:rowOff>
    </xdr:from>
    <xdr:to>
      <xdr:col>12</xdr:col>
      <xdr:colOff>433980</xdr:colOff>
      <xdr:row>6</xdr:row>
      <xdr:rowOff>41400</xdr:rowOff>
    </xdr:to>
    <xdr:grpSp>
      <xdr:nvGrpSpPr>
        <xdr:cNvPr id="42" name="Group 41">
          <a:extLst>
            <a:ext uri="{FF2B5EF4-FFF2-40B4-BE49-F238E27FC236}">
              <a16:creationId xmlns:a16="http://schemas.microsoft.com/office/drawing/2014/main" id="{4D001129-52D6-3063-B74E-03355C10EC83}"/>
            </a:ext>
          </a:extLst>
        </xdr:cNvPr>
        <xdr:cNvGrpSpPr/>
      </xdr:nvGrpSpPr>
      <xdr:grpSpPr>
        <a:xfrm>
          <a:off x="6697980" y="568200"/>
          <a:ext cx="1051200" cy="570480"/>
          <a:chOff x="7719060" y="674880"/>
          <a:chExt cx="1051200" cy="570480"/>
        </a:xfrm>
      </xdr:grpSpPr>
      <xdr:sp macro="" textlink="">
        <xdr:nvSpPr>
          <xdr:cNvPr id="14" name="Rectangle: Rounded Corners 13">
            <a:extLst>
              <a:ext uri="{FF2B5EF4-FFF2-40B4-BE49-F238E27FC236}">
                <a16:creationId xmlns:a16="http://schemas.microsoft.com/office/drawing/2014/main" id="{FEA8B081-024B-2768-A7EF-4381AC97EFB9}"/>
              </a:ext>
            </a:extLst>
          </xdr:cNvPr>
          <xdr:cNvSpPr/>
        </xdr:nvSpPr>
        <xdr:spPr>
          <a:xfrm>
            <a:off x="7719060" y="705360"/>
            <a:ext cx="1051200" cy="540000"/>
          </a:xfrm>
          <a:prstGeom prst="roundRect">
            <a:avLst/>
          </a:prstGeom>
          <a:solidFill>
            <a:srgbClr val="FFFFFF"/>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a:p>
        </xdr:txBody>
      </xdr:sp>
      <xdr:grpSp>
        <xdr:nvGrpSpPr>
          <xdr:cNvPr id="41" name="Group 40">
            <a:extLst>
              <a:ext uri="{FF2B5EF4-FFF2-40B4-BE49-F238E27FC236}">
                <a16:creationId xmlns:a16="http://schemas.microsoft.com/office/drawing/2014/main" id="{B6187992-1A22-703D-1D62-472E441204C6}"/>
              </a:ext>
            </a:extLst>
          </xdr:cNvPr>
          <xdr:cNvGrpSpPr/>
        </xdr:nvGrpSpPr>
        <xdr:grpSpPr>
          <a:xfrm>
            <a:off x="7719060" y="674880"/>
            <a:ext cx="944880" cy="525780"/>
            <a:chOff x="7719060" y="674880"/>
            <a:chExt cx="944880" cy="525780"/>
          </a:xfrm>
        </xdr:grpSpPr>
        <xdr:sp macro="" textlink="'Calc.'!E7">
          <xdr:nvSpPr>
            <xdr:cNvPr id="19" name="TextBox 18">
              <a:extLst>
                <a:ext uri="{FF2B5EF4-FFF2-40B4-BE49-F238E27FC236}">
                  <a16:creationId xmlns:a16="http://schemas.microsoft.com/office/drawing/2014/main" id="{8B9EF8EB-BE37-5C89-ED9D-D34CC973E9E2}"/>
                </a:ext>
              </a:extLst>
            </xdr:cNvPr>
            <xdr:cNvSpPr txBox="1"/>
          </xdr:nvSpPr>
          <xdr:spPr>
            <a:xfrm>
              <a:off x="7947660" y="911100"/>
              <a:ext cx="502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D42FD8-A670-4E23-9F92-3982058946BF}" type="TxLink">
                <a:rPr lang="en-US" sz="1800" b="1" i="0" u="none" strike="noStrike">
                  <a:solidFill>
                    <a:srgbClr val="1F3A5F"/>
                  </a:solidFill>
                  <a:latin typeface="Calibri"/>
                  <a:ea typeface="Calibri"/>
                  <a:cs typeface="Calibri"/>
                </a:rPr>
                <a:pPr/>
                <a:t>31</a:t>
              </a:fld>
              <a:endParaRPr lang="en-US" sz="1800" b="1">
                <a:solidFill>
                  <a:srgbClr val="1F3A5F"/>
                </a:solidFill>
              </a:endParaRPr>
            </a:p>
          </xdr:txBody>
        </xdr:sp>
        <xdr:sp macro="" textlink="">
          <xdr:nvSpPr>
            <xdr:cNvPr id="8" name="TextBox 7">
              <a:extLst>
                <a:ext uri="{FF2B5EF4-FFF2-40B4-BE49-F238E27FC236}">
                  <a16:creationId xmlns:a16="http://schemas.microsoft.com/office/drawing/2014/main" id="{B74D7806-60C2-CC45-1EE8-11A76FEBD9C3}"/>
                </a:ext>
              </a:extLst>
            </xdr:cNvPr>
            <xdr:cNvSpPr txBox="1"/>
          </xdr:nvSpPr>
          <xdr:spPr>
            <a:xfrm>
              <a:off x="7719060" y="674880"/>
              <a:ext cx="9448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2E5E7E"/>
                  </a:solidFill>
                  <a:effectLst/>
                  <a:latin typeface="+mn-lt"/>
                  <a:ea typeface="+mn-ea"/>
                  <a:cs typeface="+mn-cs"/>
                </a:rPr>
                <a:t>Avg.</a:t>
              </a:r>
              <a:r>
                <a:rPr lang="en-IN" sz="1600" baseline="0">
                  <a:solidFill>
                    <a:srgbClr val="2E5E7E"/>
                  </a:solidFill>
                  <a:effectLst/>
                  <a:latin typeface="+mn-lt"/>
                  <a:ea typeface="+mn-ea"/>
                  <a:cs typeface="+mn-cs"/>
                </a:rPr>
                <a:t> BMI</a:t>
              </a:r>
              <a:endParaRPr lang="en-IN" sz="1600">
                <a:solidFill>
                  <a:srgbClr val="2E5E7E"/>
                </a:solidFill>
                <a:effectLst/>
              </a:endParaRPr>
            </a:p>
          </xdr:txBody>
        </xdr:sp>
      </xdr:grpSp>
    </xdr:grpSp>
    <xdr:clientData/>
  </xdr:twoCellAnchor>
  <xdr:twoCellAnchor>
    <xdr:from>
      <xdr:col>15</xdr:col>
      <xdr:colOff>99060</xdr:colOff>
      <xdr:row>0</xdr:row>
      <xdr:rowOff>111000</xdr:rowOff>
    </xdr:from>
    <xdr:to>
      <xdr:col>17</xdr:col>
      <xdr:colOff>259080</xdr:colOff>
      <xdr:row>2</xdr:row>
      <xdr:rowOff>111000</xdr:rowOff>
    </xdr:to>
    <xdr:sp macro="" textlink="">
      <xdr:nvSpPr>
        <xdr:cNvPr id="40" name="TextBox 39">
          <a:extLst>
            <a:ext uri="{FF2B5EF4-FFF2-40B4-BE49-F238E27FC236}">
              <a16:creationId xmlns:a16="http://schemas.microsoft.com/office/drawing/2014/main" id="{F7D1B5CF-14EB-B4DC-DDD8-590484C5EEFC}"/>
            </a:ext>
          </a:extLst>
        </xdr:cNvPr>
        <xdr:cNvSpPr txBox="1"/>
      </xdr:nvSpPr>
      <xdr:spPr>
        <a:xfrm>
          <a:off x="9243060" y="111000"/>
          <a:ext cx="13792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rgbClr val="2E5E7E"/>
              </a:solidFill>
              <a:effectLst/>
              <a:latin typeface="+mn-lt"/>
              <a:ea typeface="+mn-ea"/>
              <a:cs typeface="+mn-cs"/>
            </a:rPr>
            <a:t>Last </a:t>
          </a:r>
          <a:r>
            <a:rPr lang="en-US" sz="1600" baseline="0">
              <a:solidFill>
                <a:srgbClr val="2E5E7E"/>
              </a:solidFill>
              <a:effectLst/>
              <a:latin typeface="+mn-lt"/>
              <a:ea typeface="+mn-ea"/>
              <a:cs typeface="+mn-cs"/>
            </a:rPr>
            <a:t>Updated : </a:t>
          </a:r>
          <a:endParaRPr lang="en-IN" sz="1600" baseline="0">
            <a:solidFill>
              <a:srgbClr val="2E5E7E"/>
            </a:solidFill>
            <a:effectLst/>
            <a:latin typeface="+mn-lt"/>
            <a:ea typeface="+mn-ea"/>
            <a:cs typeface="+mn-cs"/>
          </a:endParaRPr>
        </a:p>
      </xdr:txBody>
    </xdr:sp>
    <xdr:clientData/>
  </xdr:twoCellAnchor>
  <xdr:twoCellAnchor>
    <xdr:from>
      <xdr:col>13</xdr:col>
      <xdr:colOff>15240</xdr:colOff>
      <xdr:row>3</xdr:row>
      <xdr:rowOff>38100</xdr:rowOff>
    </xdr:from>
    <xdr:to>
      <xdr:col>15</xdr:col>
      <xdr:colOff>38100</xdr:colOff>
      <xdr:row>6</xdr:row>
      <xdr:rowOff>68580</xdr:rowOff>
    </xdr:to>
    <xdr:grpSp>
      <xdr:nvGrpSpPr>
        <xdr:cNvPr id="37" name="Group 36">
          <a:extLst>
            <a:ext uri="{FF2B5EF4-FFF2-40B4-BE49-F238E27FC236}">
              <a16:creationId xmlns:a16="http://schemas.microsoft.com/office/drawing/2014/main" id="{7D50B495-80B5-E6FF-7FC2-B5F523587AC1}"/>
            </a:ext>
          </a:extLst>
        </xdr:cNvPr>
        <xdr:cNvGrpSpPr/>
      </xdr:nvGrpSpPr>
      <xdr:grpSpPr>
        <a:xfrm>
          <a:off x="7940040" y="586740"/>
          <a:ext cx="1242060" cy="579120"/>
          <a:chOff x="8785860" y="678180"/>
          <a:chExt cx="1242060" cy="579120"/>
        </a:xfrm>
      </xdr:grpSpPr>
      <xdr:sp macro="" textlink="">
        <xdr:nvSpPr>
          <xdr:cNvPr id="10" name="Rectangle: Rounded Corners 9">
            <a:extLst>
              <a:ext uri="{FF2B5EF4-FFF2-40B4-BE49-F238E27FC236}">
                <a16:creationId xmlns:a16="http://schemas.microsoft.com/office/drawing/2014/main" id="{7975029A-1706-A5ED-69CB-D741DCBB3EFB}"/>
              </a:ext>
            </a:extLst>
          </xdr:cNvPr>
          <xdr:cNvSpPr/>
        </xdr:nvSpPr>
        <xdr:spPr>
          <a:xfrm>
            <a:off x="8785860" y="693420"/>
            <a:ext cx="1242060" cy="540000"/>
          </a:xfrm>
          <a:prstGeom prst="roundRect">
            <a:avLst/>
          </a:prstGeom>
          <a:solidFill>
            <a:srgbClr val="FFFFFF"/>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a:p>
        </xdr:txBody>
      </xdr:sp>
      <xdr:sp macro="" textlink="">
        <xdr:nvSpPr>
          <xdr:cNvPr id="13" name="TextBox 12">
            <a:extLst>
              <a:ext uri="{FF2B5EF4-FFF2-40B4-BE49-F238E27FC236}">
                <a16:creationId xmlns:a16="http://schemas.microsoft.com/office/drawing/2014/main" id="{D26C6B9A-2CC0-F09D-A500-E07D3E30F35F}"/>
              </a:ext>
            </a:extLst>
          </xdr:cNvPr>
          <xdr:cNvSpPr txBox="1"/>
        </xdr:nvSpPr>
        <xdr:spPr>
          <a:xfrm>
            <a:off x="8785860" y="678180"/>
            <a:ext cx="11658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a:solidFill>
                  <a:srgbClr val="2E5E7E"/>
                </a:solidFill>
                <a:effectLst/>
                <a:latin typeface="+mn-lt"/>
                <a:ea typeface="+mn-ea"/>
                <a:cs typeface="+mn-cs"/>
              </a:rPr>
              <a:t>Avg.</a:t>
            </a:r>
            <a:r>
              <a:rPr lang="en-US" sz="1600" b="0" i="0" baseline="0">
                <a:solidFill>
                  <a:srgbClr val="2E5E7E"/>
                </a:solidFill>
                <a:effectLst/>
                <a:latin typeface="+mn-lt"/>
                <a:ea typeface="+mn-ea"/>
                <a:cs typeface="+mn-cs"/>
              </a:rPr>
              <a:t> HBA1C</a:t>
            </a:r>
            <a:endParaRPr lang="en-IN" sz="1600">
              <a:solidFill>
                <a:srgbClr val="2E5E7E"/>
              </a:solidFill>
              <a:effectLst/>
            </a:endParaRPr>
          </a:p>
        </xdr:txBody>
      </xdr:sp>
      <xdr:sp macro="" textlink="'Calc.'!F7">
        <xdr:nvSpPr>
          <xdr:cNvPr id="21" name="TextBox 20">
            <a:extLst>
              <a:ext uri="{FF2B5EF4-FFF2-40B4-BE49-F238E27FC236}">
                <a16:creationId xmlns:a16="http://schemas.microsoft.com/office/drawing/2014/main" id="{0894706C-B865-E0A1-A9D2-D4E918CC7E2B}"/>
              </a:ext>
            </a:extLst>
          </xdr:cNvPr>
          <xdr:cNvSpPr txBox="1"/>
        </xdr:nvSpPr>
        <xdr:spPr>
          <a:xfrm>
            <a:off x="9163050" y="914400"/>
            <a:ext cx="3810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F05B40-4646-49F7-8294-D9C6D9DACABB}" type="TxLink">
              <a:rPr lang="en-US" sz="1800" b="1" i="0" u="none" strike="noStrike">
                <a:solidFill>
                  <a:srgbClr val="1F3A5F"/>
                </a:solidFill>
                <a:latin typeface="Calibri"/>
                <a:ea typeface="Calibri"/>
                <a:cs typeface="Calibri"/>
              </a:rPr>
              <a:pPr/>
              <a:t>7</a:t>
            </a:fld>
            <a:endParaRPr lang="en-US" sz="1800" b="1" i="0" u="none" strike="noStrike">
              <a:solidFill>
                <a:srgbClr val="1F3A5F"/>
              </a:solidFill>
              <a:latin typeface="Calibri"/>
              <a:ea typeface="Calibri"/>
              <a:cs typeface="Calibri"/>
            </a:endParaRPr>
          </a:p>
        </xdr:txBody>
      </xdr:sp>
    </xdr:grpSp>
    <xdr:clientData/>
  </xdr:twoCellAnchor>
  <xdr:twoCellAnchor>
    <xdr:from>
      <xdr:col>15</xdr:col>
      <xdr:colOff>236220</xdr:colOff>
      <xdr:row>3</xdr:row>
      <xdr:rowOff>3810</xdr:rowOff>
    </xdr:from>
    <xdr:to>
      <xdr:col>17</xdr:col>
      <xdr:colOff>358140</xdr:colOff>
      <xdr:row>6</xdr:row>
      <xdr:rowOff>57150</xdr:rowOff>
    </xdr:to>
    <xdr:grpSp>
      <xdr:nvGrpSpPr>
        <xdr:cNvPr id="38" name="Group 37">
          <a:extLst>
            <a:ext uri="{FF2B5EF4-FFF2-40B4-BE49-F238E27FC236}">
              <a16:creationId xmlns:a16="http://schemas.microsoft.com/office/drawing/2014/main" id="{C1F26456-B38A-4342-5CF0-0313D8BAE966}"/>
            </a:ext>
          </a:extLst>
        </xdr:cNvPr>
        <xdr:cNvGrpSpPr/>
      </xdr:nvGrpSpPr>
      <xdr:grpSpPr>
        <a:xfrm>
          <a:off x="9380220" y="552450"/>
          <a:ext cx="1341120" cy="601980"/>
          <a:chOff x="10233660" y="640080"/>
          <a:chExt cx="1341120" cy="601980"/>
        </a:xfrm>
      </xdr:grpSpPr>
      <xdr:sp macro="" textlink="">
        <xdr:nvSpPr>
          <xdr:cNvPr id="22" name="Rectangle: Rounded Corners 21">
            <a:extLst>
              <a:ext uri="{FF2B5EF4-FFF2-40B4-BE49-F238E27FC236}">
                <a16:creationId xmlns:a16="http://schemas.microsoft.com/office/drawing/2014/main" id="{D5F56054-C9C4-9515-4DF9-9CED711194C9}"/>
              </a:ext>
            </a:extLst>
          </xdr:cNvPr>
          <xdr:cNvSpPr/>
        </xdr:nvSpPr>
        <xdr:spPr>
          <a:xfrm>
            <a:off x="10248900" y="678180"/>
            <a:ext cx="1325880" cy="540000"/>
          </a:xfrm>
          <a:prstGeom prst="roundRect">
            <a:avLst/>
          </a:prstGeom>
          <a:solidFill>
            <a:srgbClr val="FFFFFF"/>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a:p>
        </xdr:txBody>
      </xdr:sp>
      <xdr:sp macro="" textlink="'Calc.'!M7">
        <xdr:nvSpPr>
          <xdr:cNvPr id="23" name="TextBox 22">
            <a:extLst>
              <a:ext uri="{FF2B5EF4-FFF2-40B4-BE49-F238E27FC236}">
                <a16:creationId xmlns:a16="http://schemas.microsoft.com/office/drawing/2014/main" id="{B4418E71-48A0-6883-8E82-52846E3EC38A}"/>
              </a:ext>
            </a:extLst>
          </xdr:cNvPr>
          <xdr:cNvSpPr txBox="1"/>
        </xdr:nvSpPr>
        <xdr:spPr>
          <a:xfrm>
            <a:off x="10424160" y="891540"/>
            <a:ext cx="10134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190FA5-D129-437B-9AB9-6DC384D6E0D5}" type="TxLink">
              <a:rPr lang="en-US" sz="1800" b="1" i="0" u="none" strike="noStrike">
                <a:solidFill>
                  <a:srgbClr val="1F3A5F"/>
                </a:solidFill>
                <a:latin typeface="Calibri"/>
                <a:ea typeface="Calibri"/>
                <a:cs typeface="Calibri"/>
              </a:rPr>
              <a:pPr/>
              <a:t>₹ 13.5K</a:t>
            </a:fld>
            <a:endParaRPr lang="en-US" sz="1800" b="1">
              <a:solidFill>
                <a:srgbClr val="1F3A5F"/>
              </a:solidFill>
            </a:endParaRPr>
          </a:p>
        </xdr:txBody>
      </xdr:sp>
      <xdr:sp macro="" textlink="">
        <xdr:nvSpPr>
          <xdr:cNvPr id="15" name="TextBox 14">
            <a:extLst>
              <a:ext uri="{FF2B5EF4-FFF2-40B4-BE49-F238E27FC236}">
                <a16:creationId xmlns:a16="http://schemas.microsoft.com/office/drawing/2014/main" id="{4A625BA1-6E0A-B3CD-EE41-786719482872}"/>
              </a:ext>
            </a:extLst>
          </xdr:cNvPr>
          <xdr:cNvSpPr txBox="1"/>
        </xdr:nvSpPr>
        <xdr:spPr>
          <a:xfrm>
            <a:off x="10233660" y="640080"/>
            <a:ext cx="13411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2E5E7E"/>
                </a:solidFill>
                <a:effectLst/>
                <a:latin typeface="+mn-lt"/>
                <a:ea typeface="+mn-ea"/>
                <a:cs typeface="+mn-cs"/>
              </a:rPr>
              <a:t>Avg.</a:t>
            </a:r>
            <a:r>
              <a:rPr lang="en-IN" sz="1600" baseline="0">
                <a:solidFill>
                  <a:srgbClr val="2E5E7E"/>
                </a:solidFill>
                <a:effectLst/>
                <a:latin typeface="+mn-lt"/>
                <a:ea typeface="+mn-ea"/>
                <a:cs typeface="+mn-cs"/>
              </a:rPr>
              <a:t> Charges</a:t>
            </a:r>
            <a:endParaRPr lang="en-IN" sz="1600">
              <a:solidFill>
                <a:srgbClr val="2E5E7E"/>
              </a:solidFill>
              <a:effectLst/>
            </a:endParaRPr>
          </a:p>
        </xdr:txBody>
      </xdr:sp>
    </xdr:grpSp>
    <xdr:clientData/>
  </xdr:twoCellAnchor>
  <xdr:twoCellAnchor>
    <xdr:from>
      <xdr:col>0</xdr:col>
      <xdr:colOff>76200</xdr:colOff>
      <xdr:row>0</xdr:row>
      <xdr:rowOff>68580</xdr:rowOff>
    </xdr:from>
    <xdr:to>
      <xdr:col>3</xdr:col>
      <xdr:colOff>106680</xdr:colOff>
      <xdr:row>27</xdr:row>
      <xdr:rowOff>7620</xdr:rowOff>
    </xdr:to>
    <xdr:sp macro="" textlink="">
      <xdr:nvSpPr>
        <xdr:cNvPr id="3" name="Rectangle: Rounded Corners 2">
          <a:extLst>
            <a:ext uri="{FF2B5EF4-FFF2-40B4-BE49-F238E27FC236}">
              <a16:creationId xmlns:a16="http://schemas.microsoft.com/office/drawing/2014/main" id="{27648BEE-77DB-78C1-5D90-3BF3DE18C3C7}"/>
            </a:ext>
          </a:extLst>
        </xdr:cNvPr>
        <xdr:cNvSpPr/>
      </xdr:nvSpPr>
      <xdr:spPr>
        <a:xfrm>
          <a:off x="76200" y="68580"/>
          <a:ext cx="1859280" cy="4876800"/>
        </a:xfrm>
        <a:prstGeom prst="roundRect">
          <a:avLst>
            <a:gd name="adj" fmla="val 0"/>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213360</xdr:colOff>
      <xdr:row>11</xdr:row>
      <xdr:rowOff>7621</xdr:rowOff>
    </xdr:from>
    <xdr:to>
      <xdr:col>2</xdr:col>
      <xdr:colOff>578160</xdr:colOff>
      <xdr:row>26</xdr:row>
      <xdr:rowOff>30480</xdr:rowOff>
    </xdr:to>
    <xdr:grpSp>
      <xdr:nvGrpSpPr>
        <xdr:cNvPr id="39" name="Group 38">
          <a:extLst>
            <a:ext uri="{FF2B5EF4-FFF2-40B4-BE49-F238E27FC236}">
              <a16:creationId xmlns:a16="http://schemas.microsoft.com/office/drawing/2014/main" id="{823AE55A-A00C-D543-8677-E33D04B78EC5}"/>
            </a:ext>
          </a:extLst>
        </xdr:cNvPr>
        <xdr:cNvGrpSpPr/>
      </xdr:nvGrpSpPr>
      <xdr:grpSpPr>
        <a:xfrm>
          <a:off x="213360" y="2019301"/>
          <a:ext cx="1584000" cy="2766059"/>
          <a:chOff x="198120" y="762001"/>
          <a:chExt cx="1584000" cy="2766059"/>
        </a:xfrm>
        <a:noFill/>
      </xdr:grpSpPr>
      <mc:AlternateContent xmlns:mc="http://schemas.openxmlformats.org/markup-compatibility/2006" xmlns:a14="http://schemas.microsoft.com/office/drawing/2010/main">
        <mc:Choice Requires="a14">
          <xdr:graphicFrame macro="">
            <xdr:nvGraphicFramePr>
              <xdr:cNvPr id="16" name="Diabetes Status">
                <a:extLst>
                  <a:ext uri="{FF2B5EF4-FFF2-40B4-BE49-F238E27FC236}">
                    <a16:creationId xmlns:a16="http://schemas.microsoft.com/office/drawing/2014/main" id="{75F3C60E-4CD0-4E82-9A77-7C2EA3F50388}"/>
                  </a:ext>
                </a:extLst>
              </xdr:cNvPr>
              <xdr:cNvGraphicFramePr/>
            </xdr:nvGraphicFramePr>
            <xdr:xfrm>
              <a:off x="198120" y="762001"/>
              <a:ext cx="1584000" cy="1173479"/>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13360" y="2019301"/>
                <a:ext cx="15840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 name="Weight Status">
                <a:extLst>
                  <a:ext uri="{FF2B5EF4-FFF2-40B4-BE49-F238E27FC236}">
                    <a16:creationId xmlns:a16="http://schemas.microsoft.com/office/drawing/2014/main" id="{7D3706BE-BE39-41DA-B7A3-B451BFC0310A}"/>
                  </a:ext>
                </a:extLst>
              </xdr:cNvPr>
              <xdr:cNvGraphicFramePr/>
            </xdr:nvGraphicFramePr>
            <xdr:xfrm>
              <a:off x="198120" y="2057401"/>
              <a:ext cx="1584000" cy="1470659"/>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213360" y="3314701"/>
                <a:ext cx="1584000"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15</xdr:col>
      <xdr:colOff>579120</xdr:colOff>
      <xdr:row>6</xdr:row>
      <xdr:rowOff>167640</xdr:rowOff>
    </xdr:from>
    <xdr:to>
      <xdr:col>21</xdr:col>
      <xdr:colOff>456720</xdr:colOff>
      <xdr:row>16</xdr:row>
      <xdr:rowOff>137160</xdr:rowOff>
    </xdr:to>
    <xdr:graphicFrame macro="">
      <xdr:nvGraphicFramePr>
        <xdr:cNvPr id="27" name="Chart 26">
          <a:extLst>
            <a:ext uri="{FF2B5EF4-FFF2-40B4-BE49-F238E27FC236}">
              <a16:creationId xmlns:a16="http://schemas.microsoft.com/office/drawing/2014/main" id="{25F95457-AF0C-4D5D-9DCB-93D498489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224550</xdr:colOff>
      <xdr:row>17</xdr:row>
      <xdr:rowOff>0</xdr:rowOff>
    </xdr:from>
    <xdr:to>
      <xdr:col>9</xdr:col>
      <xdr:colOff>167640</xdr:colOff>
      <xdr:row>26</xdr:row>
      <xdr:rowOff>154080</xdr:rowOff>
    </xdr:to>
    <xdr:grpSp>
      <xdr:nvGrpSpPr>
        <xdr:cNvPr id="54" name="Group 53">
          <a:extLst>
            <a:ext uri="{FF2B5EF4-FFF2-40B4-BE49-F238E27FC236}">
              <a16:creationId xmlns:a16="http://schemas.microsoft.com/office/drawing/2014/main" id="{44335B73-B20F-D660-7AD5-75E67C97E3C9}"/>
            </a:ext>
          </a:extLst>
        </xdr:cNvPr>
        <xdr:cNvGrpSpPr/>
      </xdr:nvGrpSpPr>
      <xdr:grpSpPr>
        <a:xfrm>
          <a:off x="2053350" y="3108960"/>
          <a:ext cx="3600690" cy="1800000"/>
          <a:chOff x="2053350" y="3162300"/>
          <a:chExt cx="3600690" cy="1800000"/>
        </a:xfrm>
      </xdr:grpSpPr>
      <xdr:sp macro="" textlink="">
        <xdr:nvSpPr>
          <xdr:cNvPr id="46" name="Rectangle: Rounded Corners 45">
            <a:extLst>
              <a:ext uri="{FF2B5EF4-FFF2-40B4-BE49-F238E27FC236}">
                <a16:creationId xmlns:a16="http://schemas.microsoft.com/office/drawing/2014/main" id="{524CB480-BF51-F037-F62F-471C174A0D9D}"/>
              </a:ext>
            </a:extLst>
          </xdr:cNvPr>
          <xdr:cNvSpPr/>
        </xdr:nvSpPr>
        <xdr:spPr>
          <a:xfrm>
            <a:off x="2065020" y="3162300"/>
            <a:ext cx="3589020" cy="1800000"/>
          </a:xfrm>
          <a:prstGeom prst="roundRect">
            <a:avLst>
              <a:gd name="adj" fmla="val 6588"/>
            </a:avLst>
          </a:prstGeom>
          <a:solidFill>
            <a:srgbClr val="EDEDED">
              <a:alpha val="70980"/>
            </a:srgbClr>
          </a:solidFill>
          <a:ln w="12700">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34" name="Chart 33">
            <a:extLst>
              <a:ext uri="{FF2B5EF4-FFF2-40B4-BE49-F238E27FC236}">
                <a16:creationId xmlns:a16="http://schemas.microsoft.com/office/drawing/2014/main" id="{BAB507F6-9286-4823-BD34-C23F22274CF6}"/>
              </a:ext>
            </a:extLst>
          </xdr:cNvPr>
          <xdr:cNvGraphicFramePr>
            <a:graphicFrameLocks/>
          </xdr:cNvGraphicFramePr>
        </xdr:nvGraphicFramePr>
        <xdr:xfrm>
          <a:off x="2053350" y="3216360"/>
          <a:ext cx="3535680" cy="173736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6</xdr:col>
      <xdr:colOff>350520</xdr:colOff>
      <xdr:row>3</xdr:row>
      <xdr:rowOff>30990</xdr:rowOff>
    </xdr:from>
    <xdr:to>
      <xdr:col>8</xdr:col>
      <xdr:colOff>427320</xdr:colOff>
      <xdr:row>6</xdr:row>
      <xdr:rowOff>29970</xdr:rowOff>
    </xdr:to>
    <xdr:grpSp>
      <xdr:nvGrpSpPr>
        <xdr:cNvPr id="31" name="Group 30">
          <a:extLst>
            <a:ext uri="{FF2B5EF4-FFF2-40B4-BE49-F238E27FC236}">
              <a16:creationId xmlns:a16="http://schemas.microsoft.com/office/drawing/2014/main" id="{1B1FA86C-C36E-C935-36C3-1F7FB4522CB3}"/>
            </a:ext>
          </a:extLst>
        </xdr:cNvPr>
        <xdr:cNvGrpSpPr/>
      </xdr:nvGrpSpPr>
      <xdr:grpSpPr>
        <a:xfrm>
          <a:off x="4008120" y="579630"/>
          <a:ext cx="1296000" cy="547620"/>
          <a:chOff x="2446020" y="655320"/>
          <a:chExt cx="1296000" cy="547620"/>
        </a:xfrm>
      </xdr:grpSpPr>
      <xdr:sp macro="" textlink="">
        <xdr:nvSpPr>
          <xdr:cNvPr id="20" name="Rectangle: Rounded Corners 19">
            <a:extLst>
              <a:ext uri="{FF2B5EF4-FFF2-40B4-BE49-F238E27FC236}">
                <a16:creationId xmlns:a16="http://schemas.microsoft.com/office/drawing/2014/main" id="{423732CB-CF81-BE26-8CF6-218F20546B2E}"/>
              </a:ext>
            </a:extLst>
          </xdr:cNvPr>
          <xdr:cNvSpPr/>
        </xdr:nvSpPr>
        <xdr:spPr>
          <a:xfrm>
            <a:off x="2446020" y="662940"/>
            <a:ext cx="1296000" cy="540000"/>
          </a:xfrm>
          <a:prstGeom prst="roundRect">
            <a:avLst/>
          </a:prstGeom>
          <a:solidFill>
            <a:srgbClr val="FFFFFF"/>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a:p>
        </xdr:txBody>
      </xdr:sp>
      <xdr:sp macro="" textlink="">
        <xdr:nvSpPr>
          <xdr:cNvPr id="28" name="TextBox 27">
            <a:extLst>
              <a:ext uri="{FF2B5EF4-FFF2-40B4-BE49-F238E27FC236}">
                <a16:creationId xmlns:a16="http://schemas.microsoft.com/office/drawing/2014/main" id="{4A772F72-D4E6-C5E4-6DED-E90616944DF3}"/>
              </a:ext>
            </a:extLst>
          </xdr:cNvPr>
          <xdr:cNvSpPr txBox="1"/>
        </xdr:nvSpPr>
        <xdr:spPr>
          <a:xfrm>
            <a:off x="2659380" y="655320"/>
            <a:ext cx="9601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5A6C7D"/>
                </a:solidFill>
                <a:effectLst/>
                <a:latin typeface="+mn-lt"/>
                <a:ea typeface="+mn-ea"/>
                <a:cs typeface="+mn-cs"/>
              </a:rPr>
              <a:t>Patients</a:t>
            </a:r>
            <a:endParaRPr lang="en-IN" sz="1600">
              <a:solidFill>
                <a:srgbClr val="5A6C7D"/>
              </a:solidFill>
              <a:effectLst/>
            </a:endParaRPr>
          </a:p>
        </xdr:txBody>
      </xdr:sp>
      <xdr:sp macro="" textlink="'Calc.'!B7">
        <xdr:nvSpPr>
          <xdr:cNvPr id="30" name="TextBox 29">
            <a:extLst>
              <a:ext uri="{FF2B5EF4-FFF2-40B4-BE49-F238E27FC236}">
                <a16:creationId xmlns:a16="http://schemas.microsoft.com/office/drawing/2014/main" id="{A46671C7-9494-4B2C-3CF9-1486E715C2FB}"/>
              </a:ext>
            </a:extLst>
          </xdr:cNvPr>
          <xdr:cNvSpPr txBox="1"/>
        </xdr:nvSpPr>
        <xdr:spPr>
          <a:xfrm>
            <a:off x="2750820" y="845820"/>
            <a:ext cx="7772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4EE59F-7D33-4099-9BC3-2116EC93B752}" type="TxLink">
              <a:rPr lang="en-US" sz="1800" b="1" i="0" u="none" strike="noStrike">
                <a:solidFill>
                  <a:srgbClr val="1F3A5F"/>
                </a:solidFill>
                <a:latin typeface="Calibri"/>
                <a:ea typeface="Calibri"/>
                <a:cs typeface="Calibri"/>
              </a:rPr>
              <a:pPr/>
              <a:t>2,335</a:t>
            </a:fld>
            <a:endParaRPr lang="en-US" sz="1800" b="1">
              <a:solidFill>
                <a:srgbClr val="1F3A5F"/>
              </a:solidFill>
            </a:endParaRPr>
          </a:p>
        </xdr:txBody>
      </xdr:sp>
    </xdr:grpSp>
    <xdr:clientData/>
  </xdr:twoCellAnchor>
  <xdr:twoCellAnchor>
    <xdr:from>
      <xdr:col>0</xdr:col>
      <xdr:colOff>495300</xdr:colOff>
      <xdr:row>0</xdr:row>
      <xdr:rowOff>22860</xdr:rowOff>
    </xdr:from>
    <xdr:to>
      <xdr:col>2</xdr:col>
      <xdr:colOff>243840</xdr:colOff>
      <xdr:row>4</xdr:row>
      <xdr:rowOff>102148</xdr:rowOff>
    </xdr:to>
    <xdr:pic>
      <xdr:nvPicPr>
        <xdr:cNvPr id="9" name="Picture 8">
          <a:extLst>
            <a:ext uri="{FF2B5EF4-FFF2-40B4-BE49-F238E27FC236}">
              <a16:creationId xmlns:a16="http://schemas.microsoft.com/office/drawing/2014/main" id="{440A25B8-AE8C-4343-B9B0-B19039E2985A}"/>
            </a:ext>
          </a:extLst>
        </xdr:cNvPr>
        <xdr:cNvPicPr>
          <a:picLocks noChangeAspect="1"/>
        </xdr:cNvPicPr>
      </xdr:nvPicPr>
      <xdr:blipFill>
        <a:blip xmlns:r="http://schemas.openxmlformats.org/officeDocument/2006/relationships" r:embed="rId3"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495300" y="22860"/>
          <a:ext cx="967740" cy="810808"/>
        </a:xfrm>
        <a:prstGeom prst="rect">
          <a:avLst/>
        </a:prstGeom>
        <a:noFill/>
      </xdr:spPr>
    </xdr:pic>
    <xdr:clientData/>
  </xdr:twoCellAnchor>
  <xdr:twoCellAnchor>
    <xdr:from>
      <xdr:col>17</xdr:col>
      <xdr:colOff>121920</xdr:colOff>
      <xdr:row>0</xdr:row>
      <xdr:rowOff>141480</xdr:rowOff>
    </xdr:from>
    <xdr:to>
      <xdr:col>20</xdr:col>
      <xdr:colOff>274320</xdr:colOff>
      <xdr:row>2</xdr:row>
      <xdr:rowOff>106680</xdr:rowOff>
    </xdr:to>
    <xdr:sp macro="" textlink="'Calc.'!I11">
      <xdr:nvSpPr>
        <xdr:cNvPr id="43" name="TextBox 42">
          <a:extLst>
            <a:ext uri="{FF2B5EF4-FFF2-40B4-BE49-F238E27FC236}">
              <a16:creationId xmlns:a16="http://schemas.microsoft.com/office/drawing/2014/main" id="{09193AF4-DD30-ECE4-E214-943D6FBC43AA}"/>
            </a:ext>
          </a:extLst>
        </xdr:cNvPr>
        <xdr:cNvSpPr txBox="1"/>
      </xdr:nvSpPr>
      <xdr:spPr>
        <a:xfrm>
          <a:off x="10485120" y="141480"/>
          <a:ext cx="1981200" cy="330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5545B1-F1F7-40F2-8198-D2E638A7CC3A}" type="TxLink">
            <a:rPr lang="en-US" sz="1400" b="0" i="0" u="none" strike="noStrike" baseline="0">
              <a:solidFill>
                <a:srgbClr val="2E5E7E"/>
              </a:solidFill>
              <a:effectLst/>
              <a:latin typeface="Calibri"/>
              <a:ea typeface="Calibri"/>
              <a:cs typeface="Calibri"/>
            </a:rPr>
            <a:pPr/>
            <a:t>22-07-2026 07:31:15 PM</a:t>
          </a:fld>
          <a:endParaRPr lang="en-IN" sz="2000" baseline="0">
            <a:solidFill>
              <a:srgbClr val="2E5E7E"/>
            </a:solidFill>
            <a:effectLst/>
            <a:latin typeface="+mn-lt"/>
            <a:ea typeface="+mn-ea"/>
            <a:cs typeface="+mn-cs"/>
          </a:endParaRPr>
        </a:p>
      </xdr:txBody>
    </xdr:sp>
    <xdr:clientData/>
  </xdr:twoCellAnchor>
  <xdr:twoCellAnchor editAs="oneCell">
    <xdr:from>
      <xdr:col>0</xdr:col>
      <xdr:colOff>213360</xdr:colOff>
      <xdr:row>5</xdr:row>
      <xdr:rowOff>60961</xdr:rowOff>
    </xdr:from>
    <xdr:to>
      <xdr:col>2</xdr:col>
      <xdr:colOff>578160</xdr:colOff>
      <xdr:row>10</xdr:row>
      <xdr:rowOff>45721</xdr:rowOff>
    </xdr:to>
    <mc:AlternateContent xmlns:mc="http://schemas.openxmlformats.org/markup-compatibility/2006" xmlns:a14="http://schemas.microsoft.com/office/drawing/2010/main">
      <mc:Choice Requires="a14">
        <xdr:graphicFrame macro="">
          <xdr:nvGraphicFramePr>
            <xdr:cNvPr id="44" name="Cancer History">
              <a:extLst>
                <a:ext uri="{FF2B5EF4-FFF2-40B4-BE49-F238E27FC236}">
                  <a16:creationId xmlns:a16="http://schemas.microsoft.com/office/drawing/2014/main" id="{15131F6A-E2D7-4B64-8578-FEEFD6DE1744}"/>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mlns="">
        <xdr:sp macro="" textlink="">
          <xdr:nvSpPr>
            <xdr:cNvPr id="0" name=""/>
            <xdr:cNvSpPr>
              <a:spLocks noTextEdit="1"/>
            </xdr:cNvSpPr>
          </xdr:nvSpPr>
          <xdr:spPr>
            <a:xfrm>
              <a:off x="213360" y="975361"/>
              <a:ext cx="15840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224550</xdr:colOff>
      <xdr:row>6</xdr:row>
      <xdr:rowOff>125730</xdr:rowOff>
    </xdr:from>
    <xdr:to>
      <xdr:col>9</xdr:col>
      <xdr:colOff>178350</xdr:colOff>
      <xdr:row>16</xdr:row>
      <xdr:rowOff>96930</xdr:rowOff>
    </xdr:to>
    <xdr:grpSp>
      <xdr:nvGrpSpPr>
        <xdr:cNvPr id="50" name="Group 49">
          <a:extLst>
            <a:ext uri="{FF2B5EF4-FFF2-40B4-BE49-F238E27FC236}">
              <a16:creationId xmlns:a16="http://schemas.microsoft.com/office/drawing/2014/main" id="{F960775A-ACB9-0641-1B6F-F1A29E51934D}"/>
            </a:ext>
          </a:extLst>
        </xdr:cNvPr>
        <xdr:cNvGrpSpPr/>
      </xdr:nvGrpSpPr>
      <xdr:grpSpPr>
        <a:xfrm>
          <a:off x="2053350" y="1223010"/>
          <a:ext cx="3611400" cy="1800000"/>
          <a:chOff x="2053350" y="1268730"/>
          <a:chExt cx="3611400" cy="1800000"/>
        </a:xfrm>
      </xdr:grpSpPr>
      <xdr:sp macro="" textlink="">
        <xdr:nvSpPr>
          <xdr:cNvPr id="29" name="Rectangle: Rounded Corners 28">
            <a:extLst>
              <a:ext uri="{FF2B5EF4-FFF2-40B4-BE49-F238E27FC236}">
                <a16:creationId xmlns:a16="http://schemas.microsoft.com/office/drawing/2014/main" id="{62F7BE53-A662-7A98-26F0-50891AE0DED5}"/>
              </a:ext>
            </a:extLst>
          </xdr:cNvPr>
          <xdr:cNvSpPr/>
        </xdr:nvSpPr>
        <xdr:spPr>
          <a:xfrm>
            <a:off x="2053350" y="1268730"/>
            <a:ext cx="3603780" cy="1800000"/>
          </a:xfrm>
          <a:prstGeom prst="roundRect">
            <a:avLst>
              <a:gd name="adj" fmla="val 6588"/>
            </a:avLst>
          </a:prstGeom>
          <a:solidFill>
            <a:srgbClr val="EDEDED">
              <a:alpha val="70980"/>
            </a:srgbClr>
          </a:solidFill>
          <a:ln w="12700">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5" name="Chart 4">
            <a:extLst>
              <a:ext uri="{FF2B5EF4-FFF2-40B4-BE49-F238E27FC236}">
                <a16:creationId xmlns:a16="http://schemas.microsoft.com/office/drawing/2014/main" id="{CB201ABF-3D82-4A8E-A484-001F50F78A83}"/>
              </a:ext>
            </a:extLst>
          </xdr:cNvPr>
          <xdr:cNvGraphicFramePr>
            <a:graphicFrameLocks/>
          </xdr:cNvGraphicFramePr>
        </xdr:nvGraphicFramePr>
        <xdr:xfrm>
          <a:off x="2129550" y="1324927"/>
          <a:ext cx="3535200" cy="17388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9</xdr:col>
      <xdr:colOff>335280</xdr:colOff>
      <xdr:row>6</xdr:row>
      <xdr:rowOff>125730</xdr:rowOff>
    </xdr:from>
    <xdr:to>
      <xdr:col>15</xdr:col>
      <xdr:colOff>351780</xdr:colOff>
      <xdr:row>16</xdr:row>
      <xdr:rowOff>96930</xdr:rowOff>
    </xdr:to>
    <xdr:grpSp>
      <xdr:nvGrpSpPr>
        <xdr:cNvPr id="51" name="Group 50">
          <a:extLst>
            <a:ext uri="{FF2B5EF4-FFF2-40B4-BE49-F238E27FC236}">
              <a16:creationId xmlns:a16="http://schemas.microsoft.com/office/drawing/2014/main" id="{0527AB27-C46E-8A0E-288E-207EC5F2E676}"/>
            </a:ext>
          </a:extLst>
        </xdr:cNvPr>
        <xdr:cNvGrpSpPr/>
      </xdr:nvGrpSpPr>
      <xdr:grpSpPr>
        <a:xfrm>
          <a:off x="5821680" y="1223010"/>
          <a:ext cx="3674100" cy="1800000"/>
          <a:chOff x="5821680" y="1268730"/>
          <a:chExt cx="3674100" cy="1800000"/>
        </a:xfrm>
      </xdr:grpSpPr>
      <xdr:sp macro="" textlink="">
        <xdr:nvSpPr>
          <xdr:cNvPr id="18" name="Rectangle: Rounded Corners 17">
            <a:extLst>
              <a:ext uri="{FF2B5EF4-FFF2-40B4-BE49-F238E27FC236}">
                <a16:creationId xmlns:a16="http://schemas.microsoft.com/office/drawing/2014/main" id="{4F2B1459-2B31-0EE7-7A1E-72AC8E374394}"/>
              </a:ext>
            </a:extLst>
          </xdr:cNvPr>
          <xdr:cNvSpPr/>
        </xdr:nvSpPr>
        <xdr:spPr>
          <a:xfrm>
            <a:off x="5859780" y="1268730"/>
            <a:ext cx="3636000" cy="1800000"/>
          </a:xfrm>
          <a:prstGeom prst="roundRect">
            <a:avLst>
              <a:gd name="adj" fmla="val 6588"/>
            </a:avLst>
          </a:prstGeom>
          <a:solidFill>
            <a:srgbClr val="EDEDED">
              <a:alpha val="70980"/>
            </a:srgbClr>
          </a:solidFill>
          <a:ln w="12700">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35" name="Chart 34">
            <a:extLst>
              <a:ext uri="{FF2B5EF4-FFF2-40B4-BE49-F238E27FC236}">
                <a16:creationId xmlns:a16="http://schemas.microsoft.com/office/drawing/2014/main" id="{02D80D80-591B-4B55-8DBF-C5DE21B96812}"/>
              </a:ext>
            </a:extLst>
          </xdr:cNvPr>
          <xdr:cNvGraphicFramePr>
            <a:graphicFrameLocks/>
          </xdr:cNvGraphicFramePr>
        </xdr:nvGraphicFramePr>
        <xdr:xfrm>
          <a:off x="5821680" y="1287780"/>
          <a:ext cx="3492000" cy="168783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10</xdr:col>
      <xdr:colOff>144780</xdr:colOff>
      <xdr:row>6</xdr:row>
      <xdr:rowOff>171960</xdr:rowOff>
    </xdr:from>
    <xdr:to>
      <xdr:col>14</xdr:col>
      <xdr:colOff>579120</xdr:colOff>
      <xdr:row>8</xdr:row>
      <xdr:rowOff>121920</xdr:rowOff>
    </xdr:to>
    <xdr:sp macro="" textlink="">
      <xdr:nvSpPr>
        <xdr:cNvPr id="12" name="TextBox 11">
          <a:extLst>
            <a:ext uri="{FF2B5EF4-FFF2-40B4-BE49-F238E27FC236}">
              <a16:creationId xmlns:a16="http://schemas.microsoft.com/office/drawing/2014/main" id="{7CEA8B30-B526-30C2-B16F-182EDB032F5E}"/>
            </a:ext>
          </a:extLst>
        </xdr:cNvPr>
        <xdr:cNvSpPr txBox="1"/>
      </xdr:nvSpPr>
      <xdr:spPr>
        <a:xfrm>
          <a:off x="6240780" y="1269240"/>
          <a:ext cx="2872740" cy="315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0" i="0" baseline="0">
              <a:solidFill>
                <a:schemeClr val="dk1"/>
              </a:solidFill>
              <a:effectLst/>
              <a:latin typeface="+mn-lt"/>
              <a:ea typeface="+mn-ea"/>
              <a:cs typeface="+mn-cs"/>
            </a:rPr>
            <a:t>Total Surgeries by Transplant Status </a:t>
          </a:r>
          <a:endParaRPr lang="en-IN" sz="1400">
            <a:effectLst/>
          </a:endParaRPr>
        </a:p>
      </xdr:txBody>
    </xdr:sp>
    <xdr:clientData/>
  </xdr:twoCellAnchor>
  <xdr:twoCellAnchor>
    <xdr:from>
      <xdr:col>15</xdr:col>
      <xdr:colOff>579120</xdr:colOff>
      <xdr:row>17</xdr:row>
      <xdr:rowOff>22860</xdr:rowOff>
    </xdr:from>
    <xdr:to>
      <xdr:col>21</xdr:col>
      <xdr:colOff>464340</xdr:colOff>
      <xdr:row>26</xdr:row>
      <xdr:rowOff>164400</xdr:rowOff>
    </xdr:to>
    <xdr:grpSp>
      <xdr:nvGrpSpPr>
        <xdr:cNvPr id="52" name="Group 51">
          <a:extLst>
            <a:ext uri="{FF2B5EF4-FFF2-40B4-BE49-F238E27FC236}">
              <a16:creationId xmlns:a16="http://schemas.microsoft.com/office/drawing/2014/main" id="{D5FE9BBE-81BC-83DC-43DE-803309624A97}"/>
            </a:ext>
          </a:extLst>
        </xdr:cNvPr>
        <xdr:cNvGrpSpPr/>
      </xdr:nvGrpSpPr>
      <xdr:grpSpPr>
        <a:xfrm>
          <a:off x="9723120" y="3131820"/>
          <a:ext cx="3542820" cy="1787460"/>
          <a:chOff x="9723120" y="3162300"/>
          <a:chExt cx="3542820" cy="1810320"/>
        </a:xfrm>
      </xdr:grpSpPr>
      <xdr:sp macro="" textlink="">
        <xdr:nvSpPr>
          <xdr:cNvPr id="36" name="Rectangle: Rounded Corners 35">
            <a:extLst>
              <a:ext uri="{FF2B5EF4-FFF2-40B4-BE49-F238E27FC236}">
                <a16:creationId xmlns:a16="http://schemas.microsoft.com/office/drawing/2014/main" id="{BE052979-9534-52C2-C1A6-FFDA05EC0F3D}"/>
              </a:ext>
            </a:extLst>
          </xdr:cNvPr>
          <xdr:cNvSpPr/>
        </xdr:nvSpPr>
        <xdr:spPr>
          <a:xfrm>
            <a:off x="9730740" y="3162300"/>
            <a:ext cx="3535200" cy="1800000"/>
          </a:xfrm>
          <a:prstGeom prst="roundRect">
            <a:avLst>
              <a:gd name="adj" fmla="val 6588"/>
            </a:avLst>
          </a:prstGeom>
          <a:solidFill>
            <a:srgbClr val="EDEDED">
              <a:alpha val="70980"/>
            </a:srgbClr>
          </a:solidFill>
          <a:ln w="12700">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48" name="Chart 47">
            <a:extLst>
              <a:ext uri="{FF2B5EF4-FFF2-40B4-BE49-F238E27FC236}">
                <a16:creationId xmlns:a16="http://schemas.microsoft.com/office/drawing/2014/main" id="{4140F70B-D273-4646-936F-A73780FF4931}"/>
              </a:ext>
            </a:extLst>
          </xdr:cNvPr>
          <xdr:cNvGraphicFramePr>
            <a:graphicFrameLocks/>
          </xdr:cNvGraphicFramePr>
        </xdr:nvGraphicFramePr>
        <xdr:xfrm>
          <a:off x="9723120" y="3284220"/>
          <a:ext cx="3492000" cy="16884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9</xdr:col>
      <xdr:colOff>358140</xdr:colOff>
      <xdr:row>17</xdr:row>
      <xdr:rowOff>30480</xdr:rowOff>
    </xdr:from>
    <xdr:to>
      <xdr:col>15</xdr:col>
      <xdr:colOff>357660</xdr:colOff>
      <xdr:row>27</xdr:row>
      <xdr:rowOff>1680</xdr:rowOff>
    </xdr:to>
    <xdr:grpSp>
      <xdr:nvGrpSpPr>
        <xdr:cNvPr id="53" name="Group 52">
          <a:extLst>
            <a:ext uri="{FF2B5EF4-FFF2-40B4-BE49-F238E27FC236}">
              <a16:creationId xmlns:a16="http://schemas.microsoft.com/office/drawing/2014/main" id="{19375731-0D8A-5F03-2187-B208BF298D54}"/>
            </a:ext>
          </a:extLst>
        </xdr:cNvPr>
        <xdr:cNvGrpSpPr/>
      </xdr:nvGrpSpPr>
      <xdr:grpSpPr>
        <a:xfrm>
          <a:off x="5844540" y="3139440"/>
          <a:ext cx="3657120" cy="1800000"/>
          <a:chOff x="5844540" y="3192780"/>
          <a:chExt cx="3657120" cy="1800000"/>
        </a:xfrm>
      </xdr:grpSpPr>
      <xdr:sp macro="" textlink="">
        <xdr:nvSpPr>
          <xdr:cNvPr id="45" name="Rectangle: Rounded Corners 44">
            <a:extLst>
              <a:ext uri="{FF2B5EF4-FFF2-40B4-BE49-F238E27FC236}">
                <a16:creationId xmlns:a16="http://schemas.microsoft.com/office/drawing/2014/main" id="{D74FFAA4-9D87-1616-66F6-8177A0DE7567}"/>
              </a:ext>
            </a:extLst>
          </xdr:cNvPr>
          <xdr:cNvSpPr/>
        </xdr:nvSpPr>
        <xdr:spPr>
          <a:xfrm>
            <a:off x="5844540" y="3192780"/>
            <a:ext cx="3657120" cy="1800000"/>
          </a:xfrm>
          <a:prstGeom prst="roundRect">
            <a:avLst>
              <a:gd name="adj" fmla="val 6588"/>
            </a:avLst>
          </a:prstGeom>
          <a:solidFill>
            <a:srgbClr val="EDEDED">
              <a:alpha val="70980"/>
            </a:srgbClr>
          </a:solidFill>
          <a:ln w="12700">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pic>
            <xdr:nvPicPr>
              <xdr:cNvPr id="26" name="Picture 25">
                <a:extLst>
                  <a:ext uri="{FF2B5EF4-FFF2-40B4-BE49-F238E27FC236}">
                    <a16:creationId xmlns:a16="http://schemas.microsoft.com/office/drawing/2014/main" id="{FD0239B3-7E52-063F-DC4B-E51B4A09E380}"/>
                  </a:ext>
                </a:extLst>
              </xdr:cNvPr>
              <xdr:cNvPicPr>
                <a:picLocks noChangeAspect="1" noChangeArrowheads="1"/>
                <a:extLst>
                  <a:ext uri="{84589F7E-364E-4C9E-8A38-B11213B215E9}">
                    <a14:cameraTool cellRange="'Calc.'!$H$83:$K$88" spid="_x0000_s2090"/>
                  </a:ext>
                </a:extLst>
              </xdr:cNvPicPr>
            </xdr:nvPicPr>
            <xdr:blipFill>
              <a:blip xmlns:r="http://schemas.openxmlformats.org/officeDocument/2006/relationships" r:embed="rId7"/>
              <a:srcRect/>
              <a:stretch>
                <a:fillRect/>
              </a:stretch>
            </xdr:blipFill>
            <xdr:spPr bwMode="auto">
              <a:xfrm>
                <a:off x="5897880" y="3238500"/>
                <a:ext cx="3544364" cy="1691640"/>
              </a:xfrm>
              <a:prstGeom prst="rect">
                <a:avLst/>
              </a:prstGeom>
              <a:solidFill>
                <a:srgbClr val="FFFFFF" mc:Ignorable="a14" a14:legacySpreadsheetColorIndex="9"/>
              </a:solidFill>
              <a:ln w="9525">
                <a:noFill/>
                <a:miter lim="800000"/>
                <a:headEnd/>
                <a:tailEnd/>
              </a:ln>
            </xdr:spPr>
          </xdr:pic>
        </mc:Choice>
        <mc:Fallback xmlns=""/>
      </mc:AlternateContent>
    </xdr:grpSp>
    <xdr:clientData/>
  </xdr:twoCellAnchor>
  <xdr:twoCellAnchor>
    <xdr:from>
      <xdr:col>16</xdr:col>
      <xdr:colOff>91440</xdr:colOff>
      <xdr:row>17</xdr:row>
      <xdr:rowOff>27180</xdr:rowOff>
    </xdr:from>
    <xdr:to>
      <xdr:col>21</xdr:col>
      <xdr:colOff>365760</xdr:colOff>
      <xdr:row>18</xdr:row>
      <xdr:rowOff>96300</xdr:rowOff>
    </xdr:to>
    <xdr:sp macro="" textlink="">
      <xdr:nvSpPr>
        <xdr:cNvPr id="47" name="TextBox 46">
          <a:extLst>
            <a:ext uri="{FF2B5EF4-FFF2-40B4-BE49-F238E27FC236}">
              <a16:creationId xmlns:a16="http://schemas.microsoft.com/office/drawing/2014/main" id="{3CA384D5-5217-EF1A-D7B8-97226425D122}"/>
            </a:ext>
          </a:extLst>
        </xdr:cNvPr>
        <xdr:cNvSpPr txBox="1"/>
      </xdr:nvSpPr>
      <xdr:spPr>
        <a:xfrm>
          <a:off x="9845040" y="3136140"/>
          <a:ext cx="332232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400" b="0" i="0" baseline="0">
              <a:solidFill>
                <a:schemeClr val="dk1"/>
              </a:solidFill>
              <a:effectLst/>
              <a:latin typeface="+mn-lt"/>
              <a:ea typeface="+mn-ea"/>
              <a:cs typeface="+mn-cs"/>
            </a:rPr>
            <a:t>Avg. BMI &amp; HBA1C Across Surgery Patients</a:t>
          </a:r>
          <a:endParaRPr lang="en-IN" sz="1800" b="0">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826941666666" backgroundQuery="1" createdVersion="8" refreshedVersion="8" minRefreshableVersion="3" recordCount="0" supportSubquery="1" supportAdvancedDrill="1" xr:uid="{6BF8B150-977B-43C4-8016-4592CFAB8489}">
  <cacheSource type="external" connectionId="5"/>
  <cacheFields count="4">
    <cacheField name="[Medical Examinations].[Weight Status].[Weight Status]" caption="Weight Status" numFmtId="0" hierarchy="17" level="1">
      <sharedItems count="4">
        <s v="Normal Weight"/>
        <s v="Obesity"/>
        <s v="Overweight"/>
        <s v="Underweight"/>
      </sharedItems>
    </cacheField>
    <cacheField name="[Medical Examinations].[Diabetes Status].[Diabetes Status]" caption="Diabetes Status" numFmtId="0" hierarchy="18" level="1">
      <sharedItems count="3">
        <s v="Diabetes"/>
        <s v="Normal"/>
        <s v="Prediabetes"/>
      </sharedItems>
    </cacheField>
    <cacheField name="[Measures].[Count of Patient ID 2]" caption="Count of Patient ID 2" numFmtId="0" hierarchy="51" level="32767"/>
    <cacheField name="[Medical Examinations].[Cancer History].[Cancer History]" caption="Cancer History" numFmtId="0" hierarchy="14" level="1">
      <sharedItems containsSemiMixedTypes="0" containsNonDate="0" containsString="0"/>
    </cacheField>
  </cacheFields>
  <cacheHierarchies count="53">
    <cacheHierarchy uniqueName="[Customer Names].[Patient ID]" caption="Patient ID" attribute="1" defaultMemberUniqueName="[Customer Names].[Patient ID].[All]" allUniqueName="[Customer Names].[Patient ID].[All]" dimensionUniqueName="[Customer Names]" displayFolder="" count="0" memberValueDatatype="130" unbalanced="0"/>
    <cacheHierarchy uniqueName="[Customer Names].[Full Name]" caption="Full Name" attribute="1" defaultMemberUniqueName="[Customer Names].[Full Name].[All]" allUniqueName="[Customer Names].[Full Name].[All]" dimensionUniqueName="[Customer Names]" displayFolder="" count="0" memberValueDatatype="130" unbalanced="0"/>
    <cacheHierarchy uniqueName="[Hospitalisation Details].[Patient ID]" caption="Patient ID" attribute="1" defaultMemberUniqueName="[Hospitalisation Details].[Patient ID].[All]" allUniqueName="[Hospitalisation Details].[Patient ID].[All]" dimensionUniqueName="[Hospitalisation Details]" displayFolder="" count="0" memberValueDatatype="13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Age]" caption="Age" attribute="1" defaultMemberUniqueName="[Hospitalisation Details].[Age].[All]" allUniqueName="[Hospitalisation Details].[Age].[All]" dimensionUniqueName="[Hospitalisation Details]" displayFolder="" count="0" memberValueDatatype="20" unbalanced="0"/>
    <cacheHierarchy uniqueName="[Hospitalisation Details].[Age Group]" caption="Age Group" attribute="1" defaultMemberUniqueName="[Hospitalisation Details].[Age Group].[All]" allUniqueName="[Hospitalisation Details].[Age Group].[All]" dimensionUniqueName="[Hospitalisation Details]" displayFolder="" count="0" memberValueDatatype="130" unbalanced="0"/>
    <cacheHierarchy uniqueName="[Medical Examinations].[Patient ID]" caption="Patient ID" attribute="1" defaultMemberUniqueName="[Medical Examinations].[Patient ID].[All]" allUniqueName="[Medical Examinations].[Patient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fieldsUsage count="2">
        <fieldUsage x="-1"/>
        <fieldUsage x="3"/>
      </fieldsUsage>
    </cacheHierarchy>
    <cacheHierarchy uniqueName="[Medical Examinations].[Number of Major Surgeries]" caption="Number of Major Surgeries" attribute="1" defaultMemberUniqueName="[Medical Examinations].[Number of Major Surgeries].[All]" allUniqueName="[Medical Examinations].[Number of Major Surgeries].[All]" dimensionUniqueName="[Medical Examinations]" displayFolder="" count="0" memberValueDatatype="2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Medical Examinations].[Weight Status]" caption="Weight Status" attribute="1" defaultMemberUniqueName="[Medical Examinations].[Weight Status].[All]" allUniqueName="[Medical Examinations].[Weight Status].[All]" dimensionUniqueName="[Medical Examinations]" displayFolder="" count="2" memberValueDatatype="130" unbalanced="0">
      <fieldsUsage count="2">
        <fieldUsage x="-1"/>
        <fieldUsage x="0"/>
      </fieldsUsage>
    </cacheHierarchy>
    <cacheHierarchy uniqueName="[Medical Examinations].[Diabetes Status]" caption="Diabetes Status" attribute="1" defaultMemberUniqueName="[Medical Examinations].[Diabetes Status].[All]" allUniqueName="[Medical Examinations].[Diabetes Status].[All]" dimensionUniqueName="[Medical Examinations]" displayFolder="" count="2" memberValueDatatype="130" unbalanced="0">
      <fieldsUsage count="2">
        <fieldUsage x="-1"/>
        <fieldUsage x="1"/>
      </fieldsUsage>
    </cacheHierarchy>
    <cacheHierarchy uniqueName="[Refresh].[Last Refresh]" caption="Last Refresh" attribute="1" defaultMemberUniqueName="[Refresh].[Last Refresh].[All]" allUniqueName="[Refresh].[Last Refresh].[All]" dimensionUniqueName="[Refresh]" displayFolder="" count="0" memberValueDatatype="130" unbalanced="0"/>
    <cacheHierarchy uniqueName="[Measures].[Cancer Patients]" caption="Cancer Patients" measure="1" displayFolder="" measureGroup="Medical Examinations" count="0"/>
    <cacheHierarchy uniqueName="[Measures].[Smokers]" caption="Smokers" measure="1" displayFolder="" measureGroup="Medical Examinations" count="0"/>
    <cacheHierarchy uniqueName="[Measures].[Avg. BMI]" caption="Avg. BMI" measure="1" displayFolder="" measureGroup="Medical Examinations" count="0"/>
    <cacheHierarchy uniqueName="[Measures].[Avg. HBA1C]" caption="Avg. HBA1C" measure="1" displayFolder="" measureGroup="Medical Examinations" count="0"/>
    <cacheHierarchy uniqueName="[Measures].[Transplant Patients]" caption="Transplant Patients" measure="1" displayFolder="" measureGroup="Medical Examinations" count="0"/>
    <cacheHierarchy uniqueName="[Measures].[Heart Patients]" caption="Heart Patients" measure="1" displayFolder="" measureGroup="Medical Examinations" count="0"/>
    <cacheHierarchy uniqueName="[Measures].[Smokers Percent]" caption="Smokers Percent" measure="1" displayFolder="" measureGroup="Medical Examinations" count="0"/>
    <cacheHierarchy uniqueName="[Measures].[Cancer Patients Percent]" caption="Cancer Patients Percent" measure="1" displayFolder="" measureGroup="Medical Examinations" count="0"/>
    <cacheHierarchy uniqueName="[Measures].[Smoker Cancer]" caption="Smoker Cancer" measure="1" displayFolder="" measureGroup="Medical Examinations" count="0"/>
    <cacheHierarchy uniqueName="[Measures].[Smoker Cancer Percent]" caption="Smoker Cancer Percent" measure="1" displayFolder="" measureGroup="Medical Examinations" count="0"/>
    <cacheHierarchy uniqueName="[Measures].[Patients]" caption="Patients" measure="1" displayFolder="" measureGroup="Customer Names" count="0"/>
    <cacheHierarchy uniqueName="[Measures].[Average Charges]" caption="Average Charges" measure="1" displayFolder="" measureGroup="Medical Examinations" count="0"/>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Customer Names]" caption="__XL_Count Customer Names" measure="1" displayFolder="" measureGroup="Customer Names" count="0" hidden="1"/>
    <cacheHierarchy uniqueName="[Measures].[__XL_Count Refresh]" caption="__XL_Count Refresh" measure="1" displayFolder="" measureGroup="Refresh" count="0" hidden="1"/>
    <cacheHierarchy uniqueName="[Measures].[__No measures defined]" caption="__No measures defined" measure="1" displayFolder="" count="0" hidden="1"/>
    <cacheHierarchy uniqueName="[Measures].[_Patients Goal]" caption="_Patients Goal" measure="1" displayFolder="" measureGroup="Customer Names" count="0" hidden="1"/>
    <cacheHierarchy uniqueName="[Measures].[_Patients Status]" caption="_Patients Status" measure="1" iconSet="6" displayFolder="" measureGroup="Customer Names" count="0" hidden="1"/>
    <cacheHierarchy uniqueName="[Measures].[Count of Cancer History]" caption="Count of Cancer History" measure="1" displayFolder="" measureGroup="Medical Examinations" count="0" hidden="1">
      <extLst>
        <ext xmlns:x15="http://schemas.microsoft.com/office/spreadsheetml/2010/11/main" uri="{B97F6D7D-B522-45F9-BDA1-12C45D357490}">
          <x15:cacheHierarchy aggregatedColumn="14"/>
        </ext>
      </extLst>
    </cacheHierarchy>
    <cacheHierarchy uniqueName="[Measures].[Sum of Charges]" caption="Sum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Average of Charges]" caption="Average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Count of Number of Major Surgeries]" caption="Count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Sum of Number of Major Surgeries]" caption="Sum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isation Details" count="0" hidden="1">
      <extLst>
        <ext xmlns:x15="http://schemas.microsoft.com/office/spreadsheetml/2010/11/main" uri="{B97F6D7D-B522-45F9-BDA1-12C45D357490}">
          <x15:cacheHierarchy aggregatedColumn="2"/>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Count of Last Refresh]" caption="Count of Last Refresh" measure="1" displayFolder="" measureGroup="Refresh" count="0" hidden="1">
      <extLst>
        <ext xmlns:x15="http://schemas.microsoft.com/office/spreadsheetml/2010/11/main" uri="{B97F6D7D-B522-45F9-BDA1-12C45D357490}">
          <x15:cacheHierarchy aggregatedColumn="19"/>
        </ext>
      </extLst>
    </cacheHierarchy>
    <cacheHierarchy uniqueName="[Measures].[Min of Charges]" caption="Min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Count of Patient ID 2]" caption="Count of Patient ID 2" measure="1" displayFolder="" measureGroup="Medical Examinations"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Smoker]" caption="Count of Smoker" measure="1" displayFolder="" measureGroup="Medical Examinations" count="0" hidden="1">
      <extLst>
        <ext xmlns:x15="http://schemas.microsoft.com/office/spreadsheetml/2010/11/main" uri="{B97F6D7D-B522-45F9-BDA1-12C45D357490}">
          <x15:cacheHierarchy aggregatedColumn="16"/>
        </ext>
      </extLst>
    </cacheHierarchy>
  </cacheHierarchies>
  <kpis count="1">
    <kpi uniqueName="Patients" caption="Patients" displayFolder="" measureGroup="Customer Names" parent="" value="[Measures].[Patients]" goal="[Measures].[_Patients Goal]" status="[Measures].[_Patients Status]" trend="" weight=""/>
  </kpis>
  <dimensions count="5">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efresh" uniqueName="[Refresh]" caption="Refresh"/>
  </dimensions>
  <measureGroups count="4">
    <measureGroup name="Customer Names" caption="Customer Names"/>
    <measureGroup name="Hospitalisation Details" caption="Hospitalisation Details"/>
    <measureGroup name="Medical Examinations" caption="Medical Examinations"/>
    <measureGroup name="Refresh" caption="Refresh"/>
  </measureGroups>
  <maps count="5">
    <map measureGroup="0" dimension="0"/>
    <map measureGroup="1" dimension="1"/>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805777083333" backgroundQuery="1" createdVersion="8" refreshedVersion="8" minRefreshableVersion="3" recordCount="0" supportSubquery="1" supportAdvancedDrill="1" xr:uid="{52B739AD-933F-4ED5-9167-37B7EF217D5E}">
  <cacheSource type="external" connectionId="5"/>
  <cacheFields count="4">
    <cacheField name="[Medical Examinations].[Smoker].[Smoker]" caption="Smoker" numFmtId="0" hierarchy="16" level="1">
      <sharedItems count="2">
        <s v="No Smoker"/>
        <s v="Smoker"/>
      </sharedItems>
    </cacheField>
    <cacheField name="[Medical Examinations].[Cancer History].[Cancer History]" caption="Cancer History" numFmtId="0" hierarchy="14" level="1">
      <sharedItems count="2">
        <s v="Cancer"/>
        <s v="No Cancer"/>
      </sharedItems>
    </cacheField>
    <cacheField name="[Measures].[Count of Cancer History]" caption="Count of Cancer History" numFmtId="0" hierarchy="39" level="32767"/>
    <cacheField name="[Medical Examinations].[Diabetes Status].[Diabetes Status]" caption="Diabetes Status" numFmtId="0" hierarchy="18" level="1">
      <sharedItems containsSemiMixedTypes="0" containsNonDate="0" containsString="0"/>
    </cacheField>
  </cacheFields>
  <cacheHierarchies count="53">
    <cacheHierarchy uniqueName="[Customer Names].[Patient ID]" caption="Patient ID" attribute="1" defaultMemberUniqueName="[Customer Names].[Patient ID].[All]" allUniqueName="[Customer Names].[Patient ID].[All]" dimensionUniqueName="[Customer Names]" displayFolder="" count="0" memberValueDatatype="130" unbalanced="0"/>
    <cacheHierarchy uniqueName="[Customer Names].[Full Name]" caption="Full Name" attribute="1" defaultMemberUniqueName="[Customer Names].[Full Name].[All]" allUniqueName="[Customer Names].[Full Name].[All]" dimensionUniqueName="[Customer Names]" displayFolder="" count="0" memberValueDatatype="130" unbalanced="0"/>
    <cacheHierarchy uniqueName="[Hospitalisation Details].[Patient ID]" caption="Patient ID" attribute="1" defaultMemberUniqueName="[Hospitalisation Details].[Patient ID].[All]" allUniqueName="[Hospitalisation Details].[Patient ID].[All]" dimensionUniqueName="[Hospitalisation Details]" displayFolder="" count="0" memberValueDatatype="13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Age]" caption="Age" attribute="1" defaultMemberUniqueName="[Hospitalisation Details].[Age].[All]" allUniqueName="[Hospitalisation Details].[Age].[All]" dimensionUniqueName="[Hospitalisation Details]" displayFolder="" count="0" memberValueDatatype="20" unbalanced="0"/>
    <cacheHierarchy uniqueName="[Hospitalisation Details].[Age Group]" caption="Age Group" attribute="1" defaultMemberUniqueName="[Hospitalisation Details].[Age Group].[All]" allUniqueName="[Hospitalisation Details].[Age Group].[All]" dimensionUniqueName="[Hospitalisation Details]" displayFolder="" count="0" memberValueDatatype="130" unbalanced="0"/>
    <cacheHierarchy uniqueName="[Medical Examinations].[Patient ID]" caption="Patient ID" attribute="1" defaultMemberUniqueName="[Medical Examinations].[Patient ID].[All]" allUniqueName="[Medical Examinations].[Patient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fieldsUsage count="2">
        <fieldUsage x="-1"/>
        <fieldUsage x="1"/>
      </fieldsUsage>
    </cacheHierarchy>
    <cacheHierarchy uniqueName="[Medical Examinations].[Number of Major Surgeries]" caption="Number of Major Surgeries" attribute="1" defaultMemberUniqueName="[Medical Examinations].[Number of Major Surgeries].[All]" allUniqueName="[Medical Examinations].[Number of Major Surgeries].[All]" dimensionUniqueName="[Medical Examinations]" displayFolder="" count="0" memberValueDatatype="20" unbalanced="0"/>
    <cacheHierarchy uniqueName="[Medical Examinations].[Smoker]" caption="Smoker" attribute="1" defaultMemberUniqueName="[Medical Examinations].[Smoker].[All]" allUniqueName="[Medical Examinations].[Smoker].[All]" dimensionUniqueName="[Medical Examinations]" displayFolder="" count="2" memberValueDatatype="130" unbalanced="0">
      <fieldsUsage count="2">
        <fieldUsage x="-1"/>
        <fieldUsage x="0"/>
      </fieldsUsage>
    </cacheHierarchy>
    <cacheHierarchy uniqueName="[Medical Examinations].[Weight Status]" caption="Weight Status" attribute="1" defaultMemberUniqueName="[Medical Examinations].[Weight Status].[All]" allUniqueName="[Medical Examinations].[Weight Status].[All]" dimensionUniqueName="[Medical Examinations]" displayFolder="" count="2" memberValueDatatype="130"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2" memberValueDatatype="130" unbalanced="0">
      <fieldsUsage count="2">
        <fieldUsage x="-1"/>
        <fieldUsage x="3"/>
      </fieldsUsage>
    </cacheHierarchy>
    <cacheHierarchy uniqueName="[Refresh].[Last Refresh]" caption="Last Refresh" attribute="1" defaultMemberUniqueName="[Refresh].[Last Refresh].[All]" allUniqueName="[Refresh].[Last Refresh].[All]" dimensionUniqueName="[Refresh]" displayFolder="" count="0" memberValueDatatype="130" unbalanced="0"/>
    <cacheHierarchy uniqueName="[Measures].[Cancer Patients]" caption="Cancer Patients" measure="1" displayFolder="" measureGroup="Medical Examinations" count="0"/>
    <cacheHierarchy uniqueName="[Measures].[Smokers]" caption="Smokers" measure="1" displayFolder="" measureGroup="Medical Examinations" count="0"/>
    <cacheHierarchy uniqueName="[Measures].[Avg. BMI]" caption="Avg. BMI" measure="1" displayFolder="" measureGroup="Medical Examinations" count="0"/>
    <cacheHierarchy uniqueName="[Measures].[Avg. HBA1C]" caption="Avg. HBA1C" measure="1" displayFolder="" measureGroup="Medical Examinations" count="0"/>
    <cacheHierarchy uniqueName="[Measures].[Transplant Patients]" caption="Transplant Patients" measure="1" displayFolder="" measureGroup="Medical Examinations" count="0"/>
    <cacheHierarchy uniqueName="[Measures].[Heart Patients]" caption="Heart Patients" measure="1" displayFolder="" measureGroup="Medical Examinations" count="0"/>
    <cacheHierarchy uniqueName="[Measures].[Smokers Percent]" caption="Smokers Percent" measure="1" displayFolder="" measureGroup="Medical Examinations" count="0"/>
    <cacheHierarchy uniqueName="[Measures].[Cancer Patients Percent]" caption="Cancer Patients Percent" measure="1" displayFolder="" measureGroup="Medical Examinations" count="0"/>
    <cacheHierarchy uniqueName="[Measures].[Smoker Cancer]" caption="Smoker Cancer" measure="1" displayFolder="" measureGroup="Medical Examinations" count="0"/>
    <cacheHierarchy uniqueName="[Measures].[Smoker Cancer Percent]" caption="Smoker Cancer Percent" measure="1" displayFolder="" measureGroup="Medical Examinations" count="0"/>
    <cacheHierarchy uniqueName="[Measures].[Patients]" caption="Patients" measure="1" displayFolder="" measureGroup="Customer Names" count="0"/>
    <cacheHierarchy uniqueName="[Measures].[Average Charges]" caption="Average Charges" measure="1" displayFolder="" measureGroup="Medical Examinations" count="0"/>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Customer Names]" caption="__XL_Count Customer Names" measure="1" displayFolder="" measureGroup="Customer Names" count="0" hidden="1"/>
    <cacheHierarchy uniqueName="[Measures].[__XL_Count Refresh]" caption="__XL_Count Refresh" measure="1" displayFolder="" measureGroup="Refresh" count="0" hidden="1"/>
    <cacheHierarchy uniqueName="[Measures].[__No measures defined]" caption="__No measures defined" measure="1" displayFolder="" count="0" hidden="1"/>
    <cacheHierarchy uniqueName="[Measures].[_Patients Goal]" caption="_Patients Goal" measure="1" displayFolder="" measureGroup="Customer Names" count="0" hidden="1"/>
    <cacheHierarchy uniqueName="[Measures].[_Patients Status]" caption="_Patients Status" measure="1" iconSet="6" displayFolder="" measureGroup="Customer Names" count="0" hidden="1"/>
    <cacheHierarchy uniqueName="[Measures].[Count of Cancer History]" caption="Count of Cancer History" measure="1" displayFolder="" measureGroup="Medical Examination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harges]" caption="Sum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Average of Charges]" caption="Average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Count of Number of Major Surgeries]" caption="Count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Sum of Number of Major Surgeries]" caption="Sum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isation Details" count="0" hidden="1">
      <extLst>
        <ext xmlns:x15="http://schemas.microsoft.com/office/spreadsheetml/2010/11/main" uri="{B97F6D7D-B522-45F9-BDA1-12C45D357490}">
          <x15:cacheHierarchy aggregatedColumn="2"/>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Count of Last Refresh]" caption="Count of Last Refresh" measure="1" displayFolder="" measureGroup="Refresh" count="0" hidden="1">
      <extLst>
        <ext xmlns:x15="http://schemas.microsoft.com/office/spreadsheetml/2010/11/main" uri="{B97F6D7D-B522-45F9-BDA1-12C45D357490}">
          <x15:cacheHierarchy aggregatedColumn="19"/>
        </ext>
      </extLst>
    </cacheHierarchy>
    <cacheHierarchy uniqueName="[Measures].[Min of Charges]" caption="Min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Count of Patient ID 2]" caption="Count of Patient ID 2" measure="1" displayFolder="" measureGroup="Medical Examinations" count="0" hidden="1">
      <extLst>
        <ext xmlns:x15="http://schemas.microsoft.com/office/spreadsheetml/2010/11/main" uri="{B97F6D7D-B522-45F9-BDA1-12C45D357490}">
          <x15:cacheHierarchy aggregatedColumn="9"/>
        </ext>
      </extLst>
    </cacheHierarchy>
    <cacheHierarchy uniqueName="[Measures].[Count of Smoker]" caption="Count of Smoker" measure="1" displayFolder="" measureGroup="Medical Examinations" count="0" hidden="1">
      <extLst>
        <ext xmlns:x15="http://schemas.microsoft.com/office/spreadsheetml/2010/11/main" uri="{B97F6D7D-B522-45F9-BDA1-12C45D357490}">
          <x15:cacheHierarchy aggregatedColumn="16"/>
        </ext>
      </extLst>
    </cacheHierarchy>
  </cacheHierarchies>
  <kpis count="1">
    <kpi uniqueName="Patients" caption="Patients" displayFolder="" measureGroup="Customer Names" parent="" value="[Measures].[Patients]" goal="[Measures].[_Patients Goal]" status="[Measures].[_Patients Status]" trend="" weight=""/>
  </kpis>
  <dimensions count="5">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efresh" uniqueName="[Refresh]" caption="Refresh"/>
  </dimensions>
  <measureGroups count="4">
    <measureGroup name="Customer Names" caption="Customer Names"/>
    <measureGroup name="Hospitalisation Details" caption="Hospitalisation Details"/>
    <measureGroup name="Medical Examinations" caption="Medical Examinations"/>
    <measureGroup name="Refresh" caption="Refresh"/>
  </measureGroups>
  <maps count="5">
    <map measureGroup="0" dimension="0"/>
    <map measureGroup="1" dimension="1"/>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805777893518" backgroundQuery="1" createdVersion="8" refreshedVersion="8" minRefreshableVersion="3" recordCount="0" supportSubquery="1" supportAdvancedDrill="1" xr:uid="{769ADF3A-07BD-41F6-8621-27B6F4170252}">
  <cacheSource type="external" connectionId="5"/>
  <cacheFields count="14">
    <cacheField name="[Measures].[Patients]" caption="Patients" numFmtId="0" hierarchy="30" level="32767"/>
    <cacheField name="[Measures].[Cancer Patients]" caption="Cancer Patients" numFmtId="0" hierarchy="20" level="32767"/>
    <cacheField name="[Measures].[Smokers]" caption="Smokers" numFmtId="0" hierarchy="21" level="32767"/>
    <cacheField name="[Measures].[Avg. BMI]" caption="Avg. BMI" numFmtId="0" hierarchy="22" level="32767"/>
    <cacheField name="[Measures].[Avg. HBA1C]" caption="Avg. HBA1C" numFmtId="0" hierarchy="23" level="32767"/>
    <cacheField name="[Measures].[Transplant Patients]" caption="Transplant Patients" numFmtId="0" hierarchy="24" level="32767"/>
    <cacheField name="[Measures].[Heart Patients]" caption="Heart Patients" numFmtId="0" hierarchy="25" level="32767"/>
    <cacheField name="[Measures].[Smokers Percent]" caption="Smokers Percent" numFmtId="0" hierarchy="26" level="32767"/>
    <cacheField name="[Measures].[Cancer Patients Percent]" caption="Cancer Patients Percent" numFmtId="0" hierarchy="27" level="32767"/>
    <cacheField name="[Measures].[Smoker Cancer]" caption="Smoker Cancer" numFmtId="0" hierarchy="28" level="32767"/>
    <cacheField name="[Measures].[Smoker Cancer Percent]" caption="Smoker Cancer Percent" numFmtId="0" hierarchy="29" level="32767"/>
    <cacheField name="[Hospitalisation Details].[Hospital Tier].[Hospital Tier]" caption="Hospital Tier" numFmtId="0" hierarchy="4" level="1">
      <sharedItems containsSemiMixedTypes="0" containsNonDate="0" containsString="0"/>
    </cacheField>
    <cacheField name="[Measures].[Average Charges]" caption="Average Charges" numFmtId="0" hierarchy="31" level="32767"/>
    <cacheField name="[Medical Examinations].[Diabetes Status].[Diabetes Status]" caption="Diabetes Status" numFmtId="0" hierarchy="18" level="1">
      <sharedItems containsSemiMixedTypes="0" containsNonDate="0" containsString="0"/>
    </cacheField>
  </cacheFields>
  <cacheHierarchies count="53">
    <cacheHierarchy uniqueName="[Customer Names].[Patient ID]" caption="Patient ID" attribute="1" defaultMemberUniqueName="[Customer Names].[Patient ID].[All]" allUniqueName="[Customer Names].[Patient ID].[All]" dimensionUniqueName="[Customer Names]" displayFolder="" count="0" memberValueDatatype="130" unbalanced="0"/>
    <cacheHierarchy uniqueName="[Customer Names].[Full Name]" caption="Full Name" attribute="1" defaultMemberUniqueName="[Customer Names].[Full Name].[All]" allUniqueName="[Customer Names].[Full Name].[All]" dimensionUniqueName="[Customer Names]" displayFolder="" count="0" memberValueDatatype="130" unbalanced="0"/>
    <cacheHierarchy uniqueName="[Hospitalisation Details].[Patient ID]" caption="Patient ID" attribute="1" defaultMemberUniqueName="[Hospitalisation Details].[Patient ID].[All]" allUniqueName="[Hospitalisation Details].[Patient ID].[All]" dimensionUniqueName="[Hospitalisation Details]" displayFolder="" count="0" memberValueDatatype="13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2" memberValueDatatype="130" unbalanced="0">
      <fieldsUsage count="2">
        <fieldUsage x="-1"/>
        <fieldUsage x="11"/>
      </fieldsUsage>
    </cacheHierarchy>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Age]" caption="Age" attribute="1" defaultMemberUniqueName="[Hospitalisation Details].[Age].[All]" allUniqueName="[Hospitalisation Details].[Age].[All]" dimensionUniqueName="[Hospitalisation Details]" displayFolder="" count="0" memberValueDatatype="20" unbalanced="0"/>
    <cacheHierarchy uniqueName="[Hospitalisation Details].[Age Group]" caption="Age Group" attribute="1" defaultMemberUniqueName="[Hospitalisation Details].[Age Group].[All]" allUniqueName="[Hospitalisation Details].[Age Group].[All]" dimensionUniqueName="[Hospitalisation Details]" displayFolder="" count="0" memberValueDatatype="130" unbalanced="0"/>
    <cacheHierarchy uniqueName="[Medical Examinations].[Patient ID]" caption="Patient ID" attribute="1" defaultMemberUniqueName="[Medical Examinations].[Patient ID].[All]" allUniqueName="[Medical Examinations].[Patient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cacheHierarchy uniqueName="[Medical Examinations].[Number of Major Surgeries]" caption="Number of Major Surgeries" attribute="1" defaultMemberUniqueName="[Medical Examinations].[Number of Major Surgeries].[All]" allUniqueName="[Medical Examinations].[Number of Major Surgeries].[All]" dimensionUniqueName="[Medical Examinations]" displayFolder="" count="0" memberValueDatatype="2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Medical Examinations].[Weight Status]" caption="Weight Status" attribute="1" defaultMemberUniqueName="[Medical Examinations].[Weight Status].[All]" allUniqueName="[Medical Examinations].[Weight Status].[All]" dimensionUniqueName="[Medical Examinations]" displayFolder="" count="2" memberValueDatatype="130"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2" memberValueDatatype="130" unbalanced="0">
      <fieldsUsage count="2">
        <fieldUsage x="-1"/>
        <fieldUsage x="13"/>
      </fieldsUsage>
    </cacheHierarchy>
    <cacheHierarchy uniqueName="[Refresh].[Last Refresh]" caption="Last Refresh" attribute="1" defaultMemberUniqueName="[Refresh].[Last Refresh].[All]" allUniqueName="[Refresh].[Last Refresh].[All]" dimensionUniqueName="[Refresh]" displayFolder="" count="0" memberValueDatatype="130" unbalanced="0"/>
    <cacheHierarchy uniqueName="[Measures].[Cancer Patients]" caption="Cancer Patients" measure="1" displayFolder="" measureGroup="Medical Examinations" count="0" oneField="1">
      <fieldsUsage count="1">
        <fieldUsage x="1"/>
      </fieldsUsage>
    </cacheHierarchy>
    <cacheHierarchy uniqueName="[Measures].[Smokers]" caption="Smokers" measure="1" displayFolder="" measureGroup="Medical Examinations" count="0" oneField="1">
      <fieldsUsage count="1">
        <fieldUsage x="2"/>
      </fieldsUsage>
    </cacheHierarchy>
    <cacheHierarchy uniqueName="[Measures].[Avg. BMI]" caption="Avg. BMI" measure="1" displayFolder="" measureGroup="Medical Examinations" count="0" oneField="1">
      <fieldsUsage count="1">
        <fieldUsage x="3"/>
      </fieldsUsage>
    </cacheHierarchy>
    <cacheHierarchy uniqueName="[Measures].[Avg. HBA1C]" caption="Avg. HBA1C" measure="1" displayFolder="" measureGroup="Medical Examinations" count="0" oneField="1">
      <fieldsUsage count="1">
        <fieldUsage x="4"/>
      </fieldsUsage>
    </cacheHierarchy>
    <cacheHierarchy uniqueName="[Measures].[Transplant Patients]" caption="Transplant Patients" measure="1" displayFolder="" measureGroup="Medical Examinations" count="0" oneField="1">
      <fieldsUsage count="1">
        <fieldUsage x="5"/>
      </fieldsUsage>
    </cacheHierarchy>
    <cacheHierarchy uniqueName="[Measures].[Heart Patients]" caption="Heart Patients" measure="1" displayFolder="" measureGroup="Medical Examinations" count="0" oneField="1">
      <fieldsUsage count="1">
        <fieldUsage x="6"/>
      </fieldsUsage>
    </cacheHierarchy>
    <cacheHierarchy uniqueName="[Measures].[Smokers Percent]" caption="Smokers Percent" measure="1" displayFolder="" measureGroup="Medical Examinations" count="0" oneField="1">
      <fieldsUsage count="1">
        <fieldUsage x="7"/>
      </fieldsUsage>
    </cacheHierarchy>
    <cacheHierarchy uniqueName="[Measures].[Cancer Patients Percent]" caption="Cancer Patients Percent" measure="1" displayFolder="" measureGroup="Medical Examinations" count="0" oneField="1">
      <fieldsUsage count="1">
        <fieldUsage x="8"/>
      </fieldsUsage>
    </cacheHierarchy>
    <cacheHierarchy uniqueName="[Measures].[Smoker Cancer]" caption="Smoker Cancer" measure="1" displayFolder="" measureGroup="Medical Examinations" count="0" oneField="1">
      <fieldsUsage count="1">
        <fieldUsage x="9"/>
      </fieldsUsage>
    </cacheHierarchy>
    <cacheHierarchy uniqueName="[Measures].[Smoker Cancer Percent]" caption="Smoker Cancer Percent" measure="1" displayFolder="" measureGroup="Medical Examinations" count="0" oneField="1">
      <fieldsUsage count="1">
        <fieldUsage x="10"/>
      </fieldsUsage>
    </cacheHierarchy>
    <cacheHierarchy uniqueName="[Measures].[Patients]" caption="Patients" measure="1" displayFolder="" measureGroup="Customer Names" count="0" oneField="1">
      <fieldsUsage count="1">
        <fieldUsage x="0"/>
      </fieldsUsage>
    </cacheHierarchy>
    <cacheHierarchy uniqueName="[Measures].[Average Charges]" caption="Average Charges" measure="1" displayFolder="" measureGroup="Medical Examinations" count="0" oneField="1">
      <fieldsUsage count="1">
        <fieldUsage x="12"/>
      </fieldsUsage>
    </cacheHierarchy>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Customer Names]" caption="__XL_Count Customer Names" measure="1" displayFolder="" measureGroup="Customer Names" count="0" hidden="1"/>
    <cacheHierarchy uniqueName="[Measures].[__XL_Count Refresh]" caption="__XL_Count Refresh" measure="1" displayFolder="" measureGroup="Refresh" count="0" hidden="1"/>
    <cacheHierarchy uniqueName="[Measures].[__No measures defined]" caption="__No measures defined" measure="1" displayFolder="" count="0" hidden="1"/>
    <cacheHierarchy uniqueName="[Measures].[_Patients Goal]" caption="_Patients Goal" measure="1" displayFolder="" measureGroup="Customer Names" count="0" hidden="1"/>
    <cacheHierarchy uniqueName="[Measures].[_Patients Status]" caption="_Patients Status" measure="1" iconSet="6" displayFolder="" measureGroup="Customer Names" count="0" hidden="1"/>
    <cacheHierarchy uniqueName="[Measures].[Count of Cancer History]" caption="Count of Cancer History" measure="1" displayFolder="" measureGroup="Medical Examinations" count="0" hidden="1">
      <extLst>
        <ext xmlns:x15="http://schemas.microsoft.com/office/spreadsheetml/2010/11/main" uri="{B97F6D7D-B522-45F9-BDA1-12C45D357490}">
          <x15:cacheHierarchy aggregatedColumn="14"/>
        </ext>
      </extLst>
    </cacheHierarchy>
    <cacheHierarchy uniqueName="[Measures].[Sum of Charges]" caption="Sum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Average of Charges]" caption="Average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Count of Number of Major Surgeries]" caption="Count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Sum of Number of Major Surgeries]" caption="Sum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isation Details" count="0" hidden="1">
      <extLst>
        <ext xmlns:x15="http://schemas.microsoft.com/office/spreadsheetml/2010/11/main" uri="{B97F6D7D-B522-45F9-BDA1-12C45D357490}">
          <x15:cacheHierarchy aggregatedColumn="2"/>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Count of Last Refresh]" caption="Count of Last Refresh" measure="1" displayFolder="" measureGroup="Refresh" count="0" hidden="1">
      <extLst>
        <ext xmlns:x15="http://schemas.microsoft.com/office/spreadsheetml/2010/11/main" uri="{B97F6D7D-B522-45F9-BDA1-12C45D357490}">
          <x15:cacheHierarchy aggregatedColumn="19"/>
        </ext>
      </extLst>
    </cacheHierarchy>
    <cacheHierarchy uniqueName="[Measures].[Min of Charges]" caption="Min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Count of Patient ID 2]" caption="Count of Patient ID 2" measure="1" displayFolder="" measureGroup="Medical Examinations" count="0" hidden="1">
      <extLst>
        <ext xmlns:x15="http://schemas.microsoft.com/office/spreadsheetml/2010/11/main" uri="{B97F6D7D-B522-45F9-BDA1-12C45D357490}">
          <x15:cacheHierarchy aggregatedColumn="9"/>
        </ext>
      </extLst>
    </cacheHierarchy>
    <cacheHierarchy uniqueName="[Measures].[Count of Smoker]" caption="Count of Smoker" measure="1" displayFolder="" measureGroup="Medical Examinations" count="0" hidden="1">
      <extLst>
        <ext xmlns:x15="http://schemas.microsoft.com/office/spreadsheetml/2010/11/main" uri="{B97F6D7D-B522-45F9-BDA1-12C45D357490}">
          <x15:cacheHierarchy aggregatedColumn="16"/>
        </ext>
      </extLst>
    </cacheHierarchy>
  </cacheHierarchies>
  <kpis count="1">
    <kpi uniqueName="Patients" caption="Patients" displayFolder="" measureGroup="Customer Names" parent="" value="[Measures].[Patients]" goal="[Measures].[_Patients Goal]" status="[Measures].[_Patients Status]" trend="" weight=""/>
  </kpis>
  <dimensions count="5">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efresh" uniqueName="[Refresh]" caption="Refresh"/>
  </dimensions>
  <measureGroups count="4">
    <measureGroup name="Customer Names" caption="Customer Names"/>
    <measureGroup name="Hospitalisation Details" caption="Hospitalisation Details"/>
    <measureGroup name="Medical Examinations" caption="Medical Examinations"/>
    <measureGroup name="Refresh" caption="Refresh"/>
  </measureGroups>
  <maps count="5">
    <map measureGroup="0" dimension="0"/>
    <map measureGroup="1" dimension="1"/>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805778819442" backgroundQuery="1" createdVersion="8" refreshedVersion="8" minRefreshableVersion="3" recordCount="0" supportSubquery="1" supportAdvancedDrill="1" xr:uid="{FA3EED6D-CE9E-4454-B6BC-255B9BE92E5B}">
  <cacheSource type="external" connectionId="5"/>
  <cacheFields count="4">
    <cacheField name="[Medical Examinations].[Smoker].[Smoker]" caption="Smoker" numFmtId="0" hierarchy="16" level="1">
      <sharedItems count="2">
        <s v="No Smoker"/>
        <s v="Smoker"/>
      </sharedItems>
    </cacheField>
    <cacheField name="[Medical Examinations].[Cancer History].[Cancer History]" caption="Cancer History" numFmtId="0" hierarchy="14" level="1">
      <sharedItems count="2">
        <s v="Cancer"/>
        <s v="No Cancer"/>
      </sharedItems>
    </cacheField>
    <cacheField name="[Measures].[Count of Patient ID 2]" caption="Count of Patient ID 2" numFmtId="0" hierarchy="51" level="32767"/>
    <cacheField name="[Medical Examinations].[Diabetes Status].[Diabetes Status]" caption="Diabetes Status" numFmtId="0" hierarchy="18" level="1">
      <sharedItems containsSemiMixedTypes="0" containsNonDate="0" containsString="0"/>
    </cacheField>
  </cacheFields>
  <cacheHierarchies count="53">
    <cacheHierarchy uniqueName="[Customer Names].[Patient ID]" caption="Patient ID" attribute="1" defaultMemberUniqueName="[Customer Names].[Patient ID].[All]" allUniqueName="[Customer Names].[Patient ID].[All]" dimensionUniqueName="[Customer Names]" displayFolder="" count="0" memberValueDatatype="130" unbalanced="0"/>
    <cacheHierarchy uniqueName="[Customer Names].[Full Name]" caption="Full Name" attribute="1" defaultMemberUniqueName="[Customer Names].[Full Name].[All]" allUniqueName="[Customer Names].[Full Name].[All]" dimensionUniqueName="[Customer Names]" displayFolder="" count="0" memberValueDatatype="130" unbalanced="0"/>
    <cacheHierarchy uniqueName="[Hospitalisation Details].[Patient ID]" caption="Patient ID" attribute="1" defaultMemberUniqueName="[Hospitalisation Details].[Patient ID].[All]" allUniqueName="[Hospitalisation Details].[Patient ID].[All]" dimensionUniqueName="[Hospitalisation Details]" displayFolder="" count="0" memberValueDatatype="13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Age]" caption="Age" attribute="1" defaultMemberUniqueName="[Hospitalisation Details].[Age].[All]" allUniqueName="[Hospitalisation Details].[Age].[All]" dimensionUniqueName="[Hospitalisation Details]" displayFolder="" count="0" memberValueDatatype="20" unbalanced="0"/>
    <cacheHierarchy uniqueName="[Hospitalisation Details].[Age Group]" caption="Age Group" attribute="1" defaultMemberUniqueName="[Hospitalisation Details].[Age Group].[All]" allUniqueName="[Hospitalisation Details].[Age Group].[All]" dimensionUniqueName="[Hospitalisation Details]" displayFolder="" count="0" memberValueDatatype="130" unbalanced="0"/>
    <cacheHierarchy uniqueName="[Medical Examinations].[Patient ID]" caption="Patient ID" attribute="1" defaultMemberUniqueName="[Medical Examinations].[Patient ID].[All]" allUniqueName="[Medical Examinations].[Patient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fieldsUsage count="2">
        <fieldUsage x="-1"/>
        <fieldUsage x="1"/>
      </fieldsUsage>
    </cacheHierarchy>
    <cacheHierarchy uniqueName="[Medical Examinations].[Number of Major Surgeries]" caption="Number of Major Surgeries" attribute="1" defaultMemberUniqueName="[Medical Examinations].[Number of Major Surgeries].[All]" allUniqueName="[Medical Examinations].[Number of Major Surgeries].[All]" dimensionUniqueName="[Medical Examinations]" displayFolder="" count="0" memberValueDatatype="20" unbalanced="0"/>
    <cacheHierarchy uniqueName="[Medical Examinations].[Smoker]" caption="Smoker" attribute="1" defaultMemberUniqueName="[Medical Examinations].[Smoker].[All]" allUniqueName="[Medical Examinations].[Smoker].[All]" dimensionUniqueName="[Medical Examinations]" displayFolder="" count="2" memberValueDatatype="130" unbalanced="0">
      <fieldsUsage count="2">
        <fieldUsage x="-1"/>
        <fieldUsage x="0"/>
      </fieldsUsage>
    </cacheHierarchy>
    <cacheHierarchy uniqueName="[Medical Examinations].[Weight Status]" caption="Weight Status" attribute="1" defaultMemberUniqueName="[Medical Examinations].[Weight Status].[All]" allUniqueName="[Medical Examinations].[Weight Status].[All]" dimensionUniqueName="[Medical Examinations]" displayFolder="" count="2" memberValueDatatype="130"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2" memberValueDatatype="130" unbalanced="0">
      <fieldsUsage count="2">
        <fieldUsage x="-1"/>
        <fieldUsage x="3"/>
      </fieldsUsage>
    </cacheHierarchy>
    <cacheHierarchy uniqueName="[Refresh].[Last Refresh]" caption="Last Refresh" attribute="1" defaultMemberUniqueName="[Refresh].[Last Refresh].[All]" allUniqueName="[Refresh].[Last Refresh].[All]" dimensionUniqueName="[Refresh]" displayFolder="" count="0" memberValueDatatype="130" unbalanced="0"/>
    <cacheHierarchy uniqueName="[Measures].[Cancer Patients]" caption="Cancer Patients" measure="1" displayFolder="" measureGroup="Medical Examinations" count="0"/>
    <cacheHierarchy uniqueName="[Measures].[Smokers]" caption="Smokers" measure="1" displayFolder="" measureGroup="Medical Examinations" count="0"/>
    <cacheHierarchy uniqueName="[Measures].[Avg. BMI]" caption="Avg. BMI" measure="1" displayFolder="" measureGroup="Medical Examinations" count="0"/>
    <cacheHierarchy uniqueName="[Measures].[Avg. HBA1C]" caption="Avg. HBA1C" measure="1" displayFolder="" measureGroup="Medical Examinations" count="0"/>
    <cacheHierarchy uniqueName="[Measures].[Transplant Patients]" caption="Transplant Patients" measure="1" displayFolder="" measureGroup="Medical Examinations" count="0"/>
    <cacheHierarchy uniqueName="[Measures].[Heart Patients]" caption="Heart Patients" measure="1" displayFolder="" measureGroup="Medical Examinations" count="0"/>
    <cacheHierarchy uniqueName="[Measures].[Smokers Percent]" caption="Smokers Percent" measure="1" displayFolder="" measureGroup="Medical Examinations" count="0"/>
    <cacheHierarchy uniqueName="[Measures].[Cancer Patients Percent]" caption="Cancer Patients Percent" measure="1" displayFolder="" measureGroup="Medical Examinations" count="0"/>
    <cacheHierarchy uniqueName="[Measures].[Smoker Cancer]" caption="Smoker Cancer" measure="1" displayFolder="" measureGroup="Medical Examinations" count="0"/>
    <cacheHierarchy uniqueName="[Measures].[Smoker Cancer Percent]" caption="Smoker Cancer Percent" measure="1" displayFolder="" measureGroup="Medical Examinations" count="0"/>
    <cacheHierarchy uniqueName="[Measures].[Patients]" caption="Patients" measure="1" displayFolder="" measureGroup="Customer Names" count="0"/>
    <cacheHierarchy uniqueName="[Measures].[Average Charges]" caption="Average Charges" measure="1" displayFolder="" measureGroup="Medical Examinations" count="0"/>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Customer Names]" caption="__XL_Count Customer Names" measure="1" displayFolder="" measureGroup="Customer Names" count="0" hidden="1"/>
    <cacheHierarchy uniqueName="[Measures].[__XL_Count Refresh]" caption="__XL_Count Refresh" measure="1" displayFolder="" measureGroup="Refresh" count="0" hidden="1"/>
    <cacheHierarchy uniqueName="[Measures].[__No measures defined]" caption="__No measures defined" measure="1" displayFolder="" count="0" hidden="1"/>
    <cacheHierarchy uniqueName="[Measures].[_Patients Goal]" caption="_Patients Goal" measure="1" displayFolder="" measureGroup="Customer Names" count="0" hidden="1"/>
    <cacheHierarchy uniqueName="[Measures].[_Patients Status]" caption="_Patients Status" measure="1" iconSet="6" displayFolder="" measureGroup="Customer Names" count="0" hidden="1"/>
    <cacheHierarchy uniqueName="[Measures].[Count of Cancer History]" caption="Count of Cancer History" measure="1" displayFolder="" measureGroup="Medical Examinations" count="0" hidden="1">
      <extLst>
        <ext xmlns:x15="http://schemas.microsoft.com/office/spreadsheetml/2010/11/main" uri="{B97F6D7D-B522-45F9-BDA1-12C45D357490}">
          <x15:cacheHierarchy aggregatedColumn="14"/>
        </ext>
      </extLst>
    </cacheHierarchy>
    <cacheHierarchy uniqueName="[Measures].[Sum of Charges]" caption="Sum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Average of Charges]" caption="Average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Count of Number of Major Surgeries]" caption="Count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Sum of Number of Major Surgeries]" caption="Sum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isation Details" count="0" hidden="1">
      <extLst>
        <ext xmlns:x15="http://schemas.microsoft.com/office/spreadsheetml/2010/11/main" uri="{B97F6D7D-B522-45F9-BDA1-12C45D357490}">
          <x15:cacheHierarchy aggregatedColumn="2"/>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Count of Last Refresh]" caption="Count of Last Refresh" measure="1" displayFolder="" measureGroup="Refresh" count="0" hidden="1">
      <extLst>
        <ext xmlns:x15="http://schemas.microsoft.com/office/spreadsheetml/2010/11/main" uri="{B97F6D7D-B522-45F9-BDA1-12C45D357490}">
          <x15:cacheHierarchy aggregatedColumn="19"/>
        </ext>
      </extLst>
    </cacheHierarchy>
    <cacheHierarchy uniqueName="[Measures].[Min of Charges]" caption="Min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Count of Patient ID 2]" caption="Count of Patient ID 2" measure="1" displayFolder="" measureGroup="Medical Examinations"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Smoker]" caption="Count of Smoker" measure="1" displayFolder="" measureGroup="Medical Examinations" count="0" hidden="1">
      <extLst>
        <ext xmlns:x15="http://schemas.microsoft.com/office/spreadsheetml/2010/11/main" uri="{B97F6D7D-B522-45F9-BDA1-12C45D357490}">
          <x15:cacheHierarchy aggregatedColumn="16"/>
        </ext>
      </extLst>
    </cacheHierarchy>
  </cacheHierarchies>
  <kpis count="1">
    <kpi uniqueName="Patients" caption="Patients" displayFolder="" measureGroup="Customer Names" parent="" value="[Measures].[Patients]" goal="[Measures].[_Patients Goal]" status="[Measures].[_Patients Status]" trend="" weight=""/>
  </kpis>
  <dimensions count="5">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efresh" uniqueName="[Refresh]" caption="Refresh"/>
  </dimensions>
  <measureGroups count="4">
    <measureGroup name="Customer Names" caption="Customer Names"/>
    <measureGroup name="Hospitalisation Details" caption="Hospitalisation Details"/>
    <measureGroup name="Medical Examinations" caption="Medical Examinations"/>
    <measureGroup name="Refresh" caption="Refresh"/>
  </measureGroups>
  <maps count="5">
    <map measureGroup="0" dimension="0"/>
    <map measureGroup="1" dimension="1"/>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805779861112" backgroundQuery="1" createdVersion="8" refreshedVersion="8" minRefreshableVersion="3" recordCount="0" supportSubquery="1" supportAdvancedDrill="1" xr:uid="{05092F97-B106-4CEA-9A55-7B87850BBAB9}">
  <cacheSource type="external" connectionId="5"/>
  <cacheFields count="4">
    <cacheField name="[Medical Examinations].[Any Transplants].[Any Transplants]" caption="Any Transplants" numFmtId="0" hierarchy="13" level="1">
      <sharedItems count="2">
        <s v="No Transplant"/>
        <s v="Transplant"/>
      </sharedItems>
    </cacheField>
    <cacheField name="[Medical Examinations].[Number of Major Surgeries].[Number of Major Surgeries]" caption="Number of Major Surgeries" numFmtId="0" hierarchy="15"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Medical Examinations].[Number of Major Surgeries].&amp;[1]"/>
            <x15:cachedUniqueName index="1" name="[Medical Examinations].[Number of Major Surgeries].&amp;[2]"/>
            <x15:cachedUniqueName index="2" name="[Medical Examinations].[Number of Major Surgeries].&amp;[3]"/>
          </x15:cachedUniqueNames>
        </ext>
      </extLst>
    </cacheField>
    <cacheField name="[Measures].[Count of Number of Major Surgeries]" caption="Count of Number of Major Surgeries" numFmtId="0" hierarchy="44" level="32767"/>
    <cacheField name="[Medical Examinations].[Diabetes Status].[Diabetes Status]" caption="Diabetes Status" numFmtId="0" hierarchy="18" level="1">
      <sharedItems containsSemiMixedTypes="0" containsNonDate="0" containsString="0"/>
    </cacheField>
  </cacheFields>
  <cacheHierarchies count="53">
    <cacheHierarchy uniqueName="[Customer Names].[Patient ID]" caption="Patient ID" attribute="1" defaultMemberUniqueName="[Customer Names].[Patient ID].[All]" allUniqueName="[Customer Names].[Patient ID].[All]" dimensionUniqueName="[Customer Names]" displayFolder="" count="0" memberValueDatatype="130" unbalanced="0"/>
    <cacheHierarchy uniqueName="[Customer Names].[Full Name]" caption="Full Name" attribute="1" defaultMemberUniqueName="[Customer Names].[Full Name].[All]" allUniqueName="[Customer Names].[Full Name].[All]" dimensionUniqueName="[Customer Names]" displayFolder="" count="0" memberValueDatatype="130" unbalanced="0"/>
    <cacheHierarchy uniqueName="[Hospitalisation Details].[Patient ID]" caption="Patient ID" attribute="1" defaultMemberUniqueName="[Hospitalisation Details].[Patient ID].[All]" allUniqueName="[Hospitalisation Details].[Patient ID].[All]" dimensionUniqueName="[Hospitalisation Details]" displayFolder="" count="0" memberValueDatatype="13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Age]" caption="Age" attribute="1" defaultMemberUniqueName="[Hospitalisation Details].[Age].[All]" allUniqueName="[Hospitalisation Details].[Age].[All]" dimensionUniqueName="[Hospitalisation Details]" displayFolder="" count="0" memberValueDatatype="20" unbalanced="0"/>
    <cacheHierarchy uniqueName="[Hospitalisation Details].[Age Group]" caption="Age Group" attribute="1" defaultMemberUniqueName="[Hospitalisation Details].[Age Group].[All]" allUniqueName="[Hospitalisation Details].[Age Group].[All]" dimensionUniqueName="[Hospitalisation Details]" displayFolder="" count="0" memberValueDatatype="130" unbalanced="0"/>
    <cacheHierarchy uniqueName="[Medical Examinations].[Patient ID]" caption="Patient ID" attribute="1" defaultMemberUniqueName="[Medical Examinations].[Patient ID].[All]" allUniqueName="[Medical Examinations].[Patient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2" memberValueDatatype="130" unbalanced="0">
      <fieldsUsage count="2">
        <fieldUsage x="-1"/>
        <fieldUsage x="0"/>
      </fieldsUsage>
    </cacheHierarchy>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cacheHierarchy uniqueName="[Medical Examinations].[Number of Major Surgeries]" caption="Number of Major Surgeries" attribute="1" defaultMemberUniqueName="[Medical Examinations].[Number of Major Surgeries].[All]" allUniqueName="[Medical Examinations].[Number of Major Surgeries].[All]" dimensionUniqueName="[Medical Examinations]" displayFolder="" count="2" memberValueDatatype="20" unbalanced="0">
      <fieldsUsage count="2">
        <fieldUsage x="-1"/>
        <fieldUsage x="1"/>
      </fieldsUsage>
    </cacheHierarchy>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Medical Examinations].[Weight Status]" caption="Weight Status" attribute="1" defaultMemberUniqueName="[Medical Examinations].[Weight Status].[All]" allUniqueName="[Medical Examinations].[Weight Status].[All]" dimensionUniqueName="[Medical Examinations]" displayFolder="" count="2" memberValueDatatype="130"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2" memberValueDatatype="130" unbalanced="0">
      <fieldsUsage count="2">
        <fieldUsage x="-1"/>
        <fieldUsage x="3"/>
      </fieldsUsage>
    </cacheHierarchy>
    <cacheHierarchy uniqueName="[Refresh].[Last Refresh]" caption="Last Refresh" attribute="1" defaultMemberUniqueName="[Refresh].[Last Refresh].[All]" allUniqueName="[Refresh].[Last Refresh].[All]" dimensionUniqueName="[Refresh]" displayFolder="" count="0" memberValueDatatype="130" unbalanced="0"/>
    <cacheHierarchy uniqueName="[Measures].[Cancer Patients]" caption="Cancer Patients" measure="1" displayFolder="" measureGroup="Medical Examinations" count="0"/>
    <cacheHierarchy uniqueName="[Measures].[Smokers]" caption="Smokers" measure="1" displayFolder="" measureGroup="Medical Examinations" count="0"/>
    <cacheHierarchy uniqueName="[Measures].[Avg. BMI]" caption="Avg. BMI" measure="1" displayFolder="" measureGroup="Medical Examinations" count="0"/>
    <cacheHierarchy uniqueName="[Measures].[Avg. HBA1C]" caption="Avg. HBA1C" measure="1" displayFolder="" measureGroup="Medical Examinations" count="0"/>
    <cacheHierarchy uniqueName="[Measures].[Transplant Patients]" caption="Transplant Patients" measure="1" displayFolder="" measureGroup="Medical Examinations" count="0"/>
    <cacheHierarchy uniqueName="[Measures].[Heart Patients]" caption="Heart Patients" measure="1" displayFolder="" measureGroup="Medical Examinations" count="0"/>
    <cacheHierarchy uniqueName="[Measures].[Smokers Percent]" caption="Smokers Percent" measure="1" displayFolder="" measureGroup="Medical Examinations" count="0"/>
    <cacheHierarchy uniqueName="[Measures].[Cancer Patients Percent]" caption="Cancer Patients Percent" measure="1" displayFolder="" measureGroup="Medical Examinations" count="0"/>
    <cacheHierarchy uniqueName="[Measures].[Smoker Cancer]" caption="Smoker Cancer" measure="1" displayFolder="" measureGroup="Medical Examinations" count="0"/>
    <cacheHierarchy uniqueName="[Measures].[Smoker Cancer Percent]" caption="Smoker Cancer Percent" measure="1" displayFolder="" measureGroup="Medical Examinations" count="0"/>
    <cacheHierarchy uniqueName="[Measures].[Patients]" caption="Patients" measure="1" displayFolder="" measureGroup="Customer Names" count="0"/>
    <cacheHierarchy uniqueName="[Measures].[Average Charges]" caption="Average Charges" measure="1" displayFolder="" measureGroup="Medical Examinations" count="0"/>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Customer Names]" caption="__XL_Count Customer Names" measure="1" displayFolder="" measureGroup="Customer Names" count="0" hidden="1"/>
    <cacheHierarchy uniqueName="[Measures].[__XL_Count Refresh]" caption="__XL_Count Refresh" measure="1" displayFolder="" measureGroup="Refresh" count="0" hidden="1"/>
    <cacheHierarchy uniqueName="[Measures].[__No measures defined]" caption="__No measures defined" measure="1" displayFolder="" count="0" hidden="1"/>
    <cacheHierarchy uniqueName="[Measures].[_Patients Goal]" caption="_Patients Goal" measure="1" displayFolder="" measureGroup="Customer Names" count="0" hidden="1"/>
    <cacheHierarchy uniqueName="[Measures].[_Patients Status]" caption="_Patients Status" measure="1" iconSet="6" displayFolder="" measureGroup="Customer Names" count="0" hidden="1"/>
    <cacheHierarchy uniqueName="[Measures].[Count of Cancer History]" caption="Count of Cancer History" measure="1" displayFolder="" measureGroup="Medical Examinations" count="0" hidden="1">
      <extLst>
        <ext xmlns:x15="http://schemas.microsoft.com/office/spreadsheetml/2010/11/main" uri="{B97F6D7D-B522-45F9-BDA1-12C45D357490}">
          <x15:cacheHierarchy aggregatedColumn="14"/>
        </ext>
      </extLst>
    </cacheHierarchy>
    <cacheHierarchy uniqueName="[Measures].[Sum of Charges]" caption="Sum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Average of Charges]" caption="Average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Count of Number of Major Surgeries]" caption="Count of Number of Major Surgeries" measure="1" displayFolder="" measureGroup="Medical Examination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Number of Major Surgeries]" caption="Sum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isation Details" count="0" hidden="1">
      <extLst>
        <ext xmlns:x15="http://schemas.microsoft.com/office/spreadsheetml/2010/11/main" uri="{B97F6D7D-B522-45F9-BDA1-12C45D357490}">
          <x15:cacheHierarchy aggregatedColumn="2"/>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Count of Last Refresh]" caption="Count of Last Refresh" measure="1" displayFolder="" measureGroup="Refresh" count="0" hidden="1">
      <extLst>
        <ext xmlns:x15="http://schemas.microsoft.com/office/spreadsheetml/2010/11/main" uri="{B97F6D7D-B522-45F9-BDA1-12C45D357490}">
          <x15:cacheHierarchy aggregatedColumn="19"/>
        </ext>
      </extLst>
    </cacheHierarchy>
    <cacheHierarchy uniqueName="[Measures].[Min of Charges]" caption="Min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Count of Patient ID 2]" caption="Count of Patient ID 2" measure="1" displayFolder="" measureGroup="Medical Examinations" count="0" hidden="1">
      <extLst>
        <ext xmlns:x15="http://schemas.microsoft.com/office/spreadsheetml/2010/11/main" uri="{B97F6D7D-B522-45F9-BDA1-12C45D357490}">
          <x15:cacheHierarchy aggregatedColumn="9"/>
        </ext>
      </extLst>
    </cacheHierarchy>
    <cacheHierarchy uniqueName="[Measures].[Count of Smoker]" caption="Count of Smoker" measure="1" displayFolder="" measureGroup="Medical Examinations" count="0" hidden="1">
      <extLst>
        <ext xmlns:x15="http://schemas.microsoft.com/office/spreadsheetml/2010/11/main" uri="{B97F6D7D-B522-45F9-BDA1-12C45D357490}">
          <x15:cacheHierarchy aggregatedColumn="16"/>
        </ext>
      </extLst>
    </cacheHierarchy>
  </cacheHierarchies>
  <kpis count="1">
    <kpi uniqueName="Patients" caption="Patients" displayFolder="" measureGroup="Customer Names" parent="" value="[Measures].[Patients]" goal="[Measures].[_Patients Goal]" status="[Measures].[_Patients Status]" trend="" weight=""/>
  </kpis>
  <dimensions count="5">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efresh" uniqueName="[Refresh]" caption="Refresh"/>
  </dimensions>
  <measureGroups count="4">
    <measureGroup name="Customer Names" caption="Customer Names"/>
    <measureGroup name="Hospitalisation Details" caption="Hospitalisation Details"/>
    <measureGroup name="Medical Examinations" caption="Medical Examinations"/>
    <measureGroup name="Refresh" caption="Refresh"/>
  </measureGroups>
  <maps count="5">
    <map measureGroup="0" dimension="0"/>
    <map measureGroup="1" dimension="1"/>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805780671297" backgroundQuery="1" createdVersion="8" refreshedVersion="8" minRefreshableVersion="3" recordCount="0" supportSubquery="1" supportAdvancedDrill="1" xr:uid="{C6307B0C-25AA-440A-A931-E5AFBAE04A8B}">
  <cacheSource type="external" connectionId="5"/>
  <cacheFields count="4">
    <cacheField name="[Hospitalisation Details].[Hospital Tier].[Hospital Tier]" caption="Hospital Tier" numFmtId="0" hierarchy="4" level="1">
      <sharedItems count="3">
        <s v="Tier - 1"/>
        <s v="Tier - 2"/>
        <s v="Tier - 3"/>
      </sharedItems>
    </cacheField>
    <cacheField name="[Hospitalisation Details].[City Tier].[City Tier]" caption="City Tier" numFmtId="0" hierarchy="5" level="1">
      <sharedItems count="3">
        <s v="Tier - 1"/>
        <s v="Tier - 2"/>
        <s v="Tier - 3"/>
      </sharedItems>
    </cacheField>
    <cacheField name="[Measures].[Average of Charges]" caption="Average of Charges" numFmtId="0" hierarchy="41" level="32767"/>
    <cacheField name="[Medical Examinations].[Diabetes Status].[Diabetes Status]" caption="Diabetes Status" numFmtId="0" hierarchy="18" level="1">
      <sharedItems containsSemiMixedTypes="0" containsNonDate="0" containsString="0"/>
    </cacheField>
  </cacheFields>
  <cacheHierarchies count="53">
    <cacheHierarchy uniqueName="[Customer Names].[Patient ID]" caption="Patient ID" attribute="1" defaultMemberUniqueName="[Customer Names].[Patient ID].[All]" allUniqueName="[Customer Names].[Patient ID].[All]" dimensionUniqueName="[Customer Names]" displayFolder="" count="0" memberValueDatatype="130" unbalanced="0"/>
    <cacheHierarchy uniqueName="[Customer Names].[Full Name]" caption="Full Name" attribute="1" defaultMemberUniqueName="[Customer Names].[Full Name].[All]" allUniqueName="[Customer Names].[Full Name].[All]" dimensionUniqueName="[Customer Names]" displayFolder="" count="0" memberValueDatatype="130" unbalanced="0"/>
    <cacheHierarchy uniqueName="[Hospitalisation Details].[Patient ID]" caption="Patient ID" attribute="1" defaultMemberUniqueName="[Hospitalisation Details].[Patient ID].[All]" allUniqueName="[Hospitalisation Details].[Patient ID].[All]" dimensionUniqueName="[Hospitalisation Details]" displayFolder="" count="0" memberValueDatatype="13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2" memberValueDatatype="130" unbalanced="0">
      <fieldsUsage count="2">
        <fieldUsage x="-1"/>
        <fieldUsage x="0"/>
      </fieldsUsage>
    </cacheHierarchy>
    <cacheHierarchy uniqueName="[Hospitalisation Details].[City Tier]" caption="City Tier" attribute="1" defaultMemberUniqueName="[Hospitalisation Details].[City Tier].[All]" allUniqueName="[Hospitalisation Details].[City Tier].[All]" dimensionUniqueName="[Hospitalisation Details]" displayFolder="" count="2" memberValueDatatype="130" unbalanced="0">
      <fieldsUsage count="2">
        <fieldUsage x="-1"/>
        <fieldUsage x="1"/>
      </fieldsUsage>
    </cacheHierarchy>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Age]" caption="Age" attribute="1" defaultMemberUniqueName="[Hospitalisation Details].[Age].[All]" allUniqueName="[Hospitalisation Details].[Age].[All]" dimensionUniqueName="[Hospitalisation Details]" displayFolder="" count="0" memberValueDatatype="20" unbalanced="0"/>
    <cacheHierarchy uniqueName="[Hospitalisation Details].[Age Group]" caption="Age Group" attribute="1" defaultMemberUniqueName="[Hospitalisation Details].[Age Group].[All]" allUniqueName="[Hospitalisation Details].[Age Group].[All]" dimensionUniqueName="[Hospitalisation Details]" displayFolder="" count="0" memberValueDatatype="130" unbalanced="0"/>
    <cacheHierarchy uniqueName="[Medical Examinations].[Patient ID]" caption="Patient ID" attribute="1" defaultMemberUniqueName="[Medical Examinations].[Patient ID].[All]" allUniqueName="[Medical Examinations].[Patient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cacheHierarchy uniqueName="[Medical Examinations].[Number of Major Surgeries]" caption="Number of Major Surgeries" attribute="1" defaultMemberUniqueName="[Medical Examinations].[Number of Major Surgeries].[All]" allUniqueName="[Medical Examinations].[Number of Major Surgeries].[All]" dimensionUniqueName="[Medical Examinations]" displayFolder="" count="0" memberValueDatatype="2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Medical Examinations].[Weight Status]" caption="Weight Status" attribute="1" defaultMemberUniqueName="[Medical Examinations].[Weight Status].[All]" allUniqueName="[Medical Examinations].[Weight Status].[All]" dimensionUniqueName="[Medical Examinations]" displayFolder="" count="2" memberValueDatatype="130"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2" memberValueDatatype="130" unbalanced="0">
      <fieldsUsage count="2">
        <fieldUsage x="-1"/>
        <fieldUsage x="3"/>
      </fieldsUsage>
    </cacheHierarchy>
    <cacheHierarchy uniqueName="[Refresh].[Last Refresh]" caption="Last Refresh" attribute="1" defaultMemberUniqueName="[Refresh].[Last Refresh].[All]" allUniqueName="[Refresh].[Last Refresh].[All]" dimensionUniqueName="[Refresh]" displayFolder="" count="0" memberValueDatatype="130" unbalanced="0"/>
    <cacheHierarchy uniqueName="[Measures].[Cancer Patients]" caption="Cancer Patients" measure="1" displayFolder="" measureGroup="Medical Examinations" count="0"/>
    <cacheHierarchy uniqueName="[Measures].[Smokers]" caption="Smokers" measure="1" displayFolder="" measureGroup="Medical Examinations" count="0"/>
    <cacheHierarchy uniqueName="[Measures].[Avg. BMI]" caption="Avg. BMI" measure="1" displayFolder="" measureGroup="Medical Examinations" count="0"/>
    <cacheHierarchy uniqueName="[Measures].[Avg. HBA1C]" caption="Avg. HBA1C" measure="1" displayFolder="" measureGroup="Medical Examinations" count="0"/>
    <cacheHierarchy uniqueName="[Measures].[Transplant Patients]" caption="Transplant Patients" measure="1" displayFolder="" measureGroup="Medical Examinations" count="0"/>
    <cacheHierarchy uniqueName="[Measures].[Heart Patients]" caption="Heart Patients" measure="1" displayFolder="" measureGroup="Medical Examinations" count="0"/>
    <cacheHierarchy uniqueName="[Measures].[Smokers Percent]" caption="Smokers Percent" measure="1" displayFolder="" measureGroup="Medical Examinations" count="0"/>
    <cacheHierarchy uniqueName="[Measures].[Cancer Patients Percent]" caption="Cancer Patients Percent" measure="1" displayFolder="" measureGroup="Medical Examinations" count="0"/>
    <cacheHierarchy uniqueName="[Measures].[Smoker Cancer]" caption="Smoker Cancer" measure="1" displayFolder="" measureGroup="Medical Examinations" count="0"/>
    <cacheHierarchy uniqueName="[Measures].[Smoker Cancer Percent]" caption="Smoker Cancer Percent" measure="1" displayFolder="" measureGroup="Medical Examinations" count="0"/>
    <cacheHierarchy uniqueName="[Measures].[Patients]" caption="Patients" measure="1" displayFolder="" measureGroup="Customer Names" count="0"/>
    <cacheHierarchy uniqueName="[Measures].[Average Charges]" caption="Average Charges" measure="1" displayFolder="" measureGroup="Medical Examinations" count="0"/>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Customer Names]" caption="__XL_Count Customer Names" measure="1" displayFolder="" measureGroup="Customer Names" count="0" hidden="1"/>
    <cacheHierarchy uniqueName="[Measures].[__XL_Count Refresh]" caption="__XL_Count Refresh" measure="1" displayFolder="" measureGroup="Refresh" count="0" hidden="1"/>
    <cacheHierarchy uniqueName="[Measures].[__No measures defined]" caption="__No measures defined" measure="1" displayFolder="" count="0" hidden="1"/>
    <cacheHierarchy uniqueName="[Measures].[_Patients Goal]" caption="_Patients Goal" measure="1" displayFolder="" measureGroup="Customer Names" count="0" hidden="1"/>
    <cacheHierarchy uniqueName="[Measures].[_Patients Status]" caption="_Patients Status" measure="1" iconSet="6" displayFolder="" measureGroup="Customer Names" count="0" hidden="1"/>
    <cacheHierarchy uniqueName="[Measures].[Count of Cancer History]" caption="Count of Cancer History" measure="1" displayFolder="" measureGroup="Medical Examinations" count="0" hidden="1">
      <extLst>
        <ext xmlns:x15="http://schemas.microsoft.com/office/spreadsheetml/2010/11/main" uri="{B97F6D7D-B522-45F9-BDA1-12C45D357490}">
          <x15:cacheHierarchy aggregatedColumn="14"/>
        </ext>
      </extLst>
    </cacheHierarchy>
    <cacheHierarchy uniqueName="[Measures].[Sum of Charges]" caption="Sum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Average of Charges]" caption="Average of Charges" measure="1" displayFolder="" measureGroup="Hospitalisation Details"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BMI]" caption="Sum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Count of Number of Major Surgeries]" caption="Count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Sum of Number of Major Surgeries]" caption="Sum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isation Details" count="0" hidden="1">
      <extLst>
        <ext xmlns:x15="http://schemas.microsoft.com/office/spreadsheetml/2010/11/main" uri="{B97F6D7D-B522-45F9-BDA1-12C45D357490}">
          <x15:cacheHierarchy aggregatedColumn="2"/>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Count of Last Refresh]" caption="Count of Last Refresh" measure="1" displayFolder="" measureGroup="Refresh" count="0" hidden="1">
      <extLst>
        <ext xmlns:x15="http://schemas.microsoft.com/office/spreadsheetml/2010/11/main" uri="{B97F6D7D-B522-45F9-BDA1-12C45D357490}">
          <x15:cacheHierarchy aggregatedColumn="19"/>
        </ext>
      </extLst>
    </cacheHierarchy>
    <cacheHierarchy uniqueName="[Measures].[Min of Charges]" caption="Min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Count of Patient ID 2]" caption="Count of Patient ID 2" measure="1" displayFolder="" measureGroup="Medical Examinations" count="0" hidden="1">
      <extLst>
        <ext xmlns:x15="http://schemas.microsoft.com/office/spreadsheetml/2010/11/main" uri="{B97F6D7D-B522-45F9-BDA1-12C45D357490}">
          <x15:cacheHierarchy aggregatedColumn="9"/>
        </ext>
      </extLst>
    </cacheHierarchy>
    <cacheHierarchy uniqueName="[Measures].[Count of Smoker]" caption="Count of Smoker" measure="1" displayFolder="" measureGroup="Medical Examinations" count="0" hidden="1">
      <extLst>
        <ext xmlns:x15="http://schemas.microsoft.com/office/spreadsheetml/2010/11/main" uri="{B97F6D7D-B522-45F9-BDA1-12C45D357490}">
          <x15:cacheHierarchy aggregatedColumn="16"/>
        </ext>
      </extLst>
    </cacheHierarchy>
  </cacheHierarchies>
  <kpis count="1">
    <kpi uniqueName="Patients" caption="Patients" displayFolder="" measureGroup="Customer Names" parent="" value="[Measures].[Patients]" goal="[Measures].[_Patients Goal]" status="[Measures].[_Patients Status]" trend="" weight=""/>
  </kpis>
  <dimensions count="5">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efresh" uniqueName="[Refresh]" caption="Refresh"/>
  </dimensions>
  <measureGroups count="4">
    <measureGroup name="Customer Names" caption="Customer Names"/>
    <measureGroup name="Hospitalisation Details" caption="Hospitalisation Details"/>
    <measureGroup name="Medical Examinations" caption="Medical Examinations"/>
    <measureGroup name="Refresh" caption="Refresh"/>
  </measureGroups>
  <maps count="5">
    <map measureGroup="0" dimension="0"/>
    <map measureGroup="1" dimension="1"/>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805781712967" backgroundQuery="1" createdVersion="8" refreshedVersion="8" minRefreshableVersion="3" recordCount="0" supportSubquery="1" supportAdvancedDrill="1" xr:uid="{0679DE78-A344-47F7-92DB-5205D25E2C1E}">
  <cacheSource type="external" connectionId="5"/>
  <cacheFields count="4">
    <cacheField name="[Medical Examinations].[Heart Issues].[Heart Issues]" caption="Heart Issues" numFmtId="0" hierarchy="12" level="1">
      <sharedItems count="2">
        <s v="Have Issues"/>
        <s v="No Issues"/>
      </sharedItems>
    </cacheField>
    <cacheField name="[Medical Examinations].[Number of Major Surgeries].[Number of Major Surgeries]" caption="Number of Major Surgeries" numFmtId="0" hierarchy="15"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Medical Examinations].[Number of Major Surgeries].&amp;[0]"/>
            <x15:cachedUniqueName index="1" name="[Medical Examinations].[Number of Major Surgeries].&amp;[1]"/>
            <x15:cachedUniqueName index="2" name="[Medical Examinations].[Number of Major Surgeries].&amp;[2]"/>
            <x15:cachedUniqueName index="3" name="[Medical Examinations].[Number of Major Surgeries].&amp;[3]"/>
          </x15:cachedUniqueNames>
        </ext>
      </extLst>
    </cacheField>
    <cacheField name="[Measures].[Count of Patient ID]" caption="Count of Patient ID" numFmtId="0" hierarchy="46" level="32767"/>
    <cacheField name="[Medical Examinations].[Diabetes Status].[Diabetes Status]" caption="Diabetes Status" numFmtId="0" hierarchy="18" level="1">
      <sharedItems containsSemiMixedTypes="0" containsNonDate="0" containsString="0"/>
    </cacheField>
  </cacheFields>
  <cacheHierarchies count="53">
    <cacheHierarchy uniqueName="[Customer Names].[Patient ID]" caption="Patient ID" attribute="1" defaultMemberUniqueName="[Customer Names].[Patient ID].[All]" allUniqueName="[Customer Names].[Patient ID].[All]" dimensionUniqueName="[Customer Names]" displayFolder="" count="0" memberValueDatatype="130" unbalanced="0"/>
    <cacheHierarchy uniqueName="[Customer Names].[Full Name]" caption="Full Name" attribute="1" defaultMemberUniqueName="[Customer Names].[Full Name].[All]" allUniqueName="[Customer Names].[Full Name].[All]" dimensionUniqueName="[Customer Names]" displayFolder="" count="0" memberValueDatatype="130" unbalanced="0"/>
    <cacheHierarchy uniqueName="[Hospitalisation Details].[Patient ID]" caption="Patient ID" attribute="1" defaultMemberUniqueName="[Hospitalisation Details].[Patient ID].[All]" allUniqueName="[Hospitalisation Details].[Patient ID].[All]" dimensionUniqueName="[Hospitalisation Details]" displayFolder="" count="0" memberValueDatatype="13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Age]" caption="Age" attribute="1" defaultMemberUniqueName="[Hospitalisation Details].[Age].[All]" allUniqueName="[Hospitalisation Details].[Age].[All]" dimensionUniqueName="[Hospitalisation Details]" displayFolder="" count="0" memberValueDatatype="20" unbalanced="0"/>
    <cacheHierarchy uniqueName="[Hospitalisation Details].[Age Group]" caption="Age Group" attribute="1" defaultMemberUniqueName="[Hospitalisation Details].[Age Group].[All]" allUniqueName="[Hospitalisation Details].[Age Group].[All]" dimensionUniqueName="[Hospitalisation Details]" displayFolder="" count="0" memberValueDatatype="130" unbalanced="0"/>
    <cacheHierarchy uniqueName="[Medical Examinations].[Patient ID]" caption="Patient ID" attribute="1" defaultMemberUniqueName="[Medical Examinations].[Patient ID].[All]" allUniqueName="[Medical Examinations].[Patient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2" memberValueDatatype="130" unbalanced="0">
      <fieldsUsage count="2">
        <fieldUsage x="-1"/>
        <fieldUsage x="0"/>
      </fieldsUsage>
    </cacheHierarchy>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cacheHierarchy uniqueName="[Medical Examinations].[Number of Major Surgeries]" caption="Number of Major Surgeries" attribute="1" defaultMemberUniqueName="[Medical Examinations].[Number of Major Surgeries].[All]" allUniqueName="[Medical Examinations].[Number of Major Surgeries].[All]" dimensionUniqueName="[Medical Examinations]" displayFolder="" count="2" memberValueDatatype="20" unbalanced="0">
      <fieldsUsage count="2">
        <fieldUsage x="-1"/>
        <fieldUsage x="1"/>
      </fieldsUsage>
    </cacheHierarchy>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Medical Examinations].[Weight Status]" caption="Weight Status" attribute="1" defaultMemberUniqueName="[Medical Examinations].[Weight Status].[All]" allUniqueName="[Medical Examinations].[Weight Status].[All]" dimensionUniqueName="[Medical Examinations]" displayFolder="" count="2" memberValueDatatype="130"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2" memberValueDatatype="130" unbalanced="0">
      <fieldsUsage count="2">
        <fieldUsage x="-1"/>
        <fieldUsage x="3"/>
      </fieldsUsage>
    </cacheHierarchy>
    <cacheHierarchy uniqueName="[Refresh].[Last Refresh]" caption="Last Refresh" attribute="1" defaultMemberUniqueName="[Refresh].[Last Refresh].[All]" allUniqueName="[Refresh].[Last Refresh].[All]" dimensionUniqueName="[Refresh]" displayFolder="" count="0" memberValueDatatype="130" unbalanced="0"/>
    <cacheHierarchy uniqueName="[Measures].[Cancer Patients]" caption="Cancer Patients" measure="1" displayFolder="" measureGroup="Medical Examinations" count="0"/>
    <cacheHierarchy uniqueName="[Measures].[Smokers]" caption="Smokers" measure="1" displayFolder="" measureGroup="Medical Examinations" count="0"/>
    <cacheHierarchy uniqueName="[Measures].[Avg. BMI]" caption="Avg. BMI" measure="1" displayFolder="" measureGroup="Medical Examinations" count="0"/>
    <cacheHierarchy uniqueName="[Measures].[Avg. HBA1C]" caption="Avg. HBA1C" measure="1" displayFolder="" measureGroup="Medical Examinations" count="0"/>
    <cacheHierarchy uniqueName="[Measures].[Transplant Patients]" caption="Transplant Patients" measure="1" displayFolder="" measureGroup="Medical Examinations" count="0"/>
    <cacheHierarchy uniqueName="[Measures].[Heart Patients]" caption="Heart Patients" measure="1" displayFolder="" measureGroup="Medical Examinations" count="0"/>
    <cacheHierarchy uniqueName="[Measures].[Smokers Percent]" caption="Smokers Percent" measure="1" displayFolder="" measureGroup="Medical Examinations" count="0"/>
    <cacheHierarchy uniqueName="[Measures].[Cancer Patients Percent]" caption="Cancer Patients Percent" measure="1" displayFolder="" measureGroup="Medical Examinations" count="0"/>
    <cacheHierarchy uniqueName="[Measures].[Smoker Cancer]" caption="Smoker Cancer" measure="1" displayFolder="" measureGroup="Medical Examinations" count="0"/>
    <cacheHierarchy uniqueName="[Measures].[Smoker Cancer Percent]" caption="Smoker Cancer Percent" measure="1" displayFolder="" measureGroup="Medical Examinations" count="0"/>
    <cacheHierarchy uniqueName="[Measures].[Patients]" caption="Patients" measure="1" displayFolder="" measureGroup="Customer Names" count="0"/>
    <cacheHierarchy uniqueName="[Measures].[Average Charges]" caption="Average Charges" measure="1" displayFolder="" measureGroup="Medical Examinations" count="0"/>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Customer Names]" caption="__XL_Count Customer Names" measure="1" displayFolder="" measureGroup="Customer Names" count="0" hidden="1"/>
    <cacheHierarchy uniqueName="[Measures].[__XL_Count Refresh]" caption="__XL_Count Refresh" measure="1" displayFolder="" measureGroup="Refresh" count="0" hidden="1"/>
    <cacheHierarchy uniqueName="[Measures].[__No measures defined]" caption="__No measures defined" measure="1" displayFolder="" count="0" hidden="1"/>
    <cacheHierarchy uniqueName="[Measures].[_Patients Goal]" caption="_Patients Goal" measure="1" displayFolder="" measureGroup="Customer Names" count="0" hidden="1"/>
    <cacheHierarchy uniqueName="[Measures].[_Patients Status]" caption="_Patients Status" measure="1" iconSet="6" displayFolder="" measureGroup="Customer Names" count="0" hidden="1"/>
    <cacheHierarchy uniqueName="[Measures].[Count of Cancer History]" caption="Count of Cancer History" measure="1" displayFolder="" measureGroup="Medical Examinations" count="0" hidden="1">
      <extLst>
        <ext xmlns:x15="http://schemas.microsoft.com/office/spreadsheetml/2010/11/main" uri="{B97F6D7D-B522-45F9-BDA1-12C45D357490}">
          <x15:cacheHierarchy aggregatedColumn="14"/>
        </ext>
      </extLst>
    </cacheHierarchy>
    <cacheHierarchy uniqueName="[Measures].[Sum of Charges]" caption="Sum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Average of Charges]" caption="Average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Count of Number of Major Surgeries]" caption="Count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Sum of Number of Major Surgeries]" caption="Sum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isation Details"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Count of Last Refresh]" caption="Count of Last Refresh" measure="1" displayFolder="" measureGroup="Refresh" count="0" hidden="1">
      <extLst>
        <ext xmlns:x15="http://schemas.microsoft.com/office/spreadsheetml/2010/11/main" uri="{B97F6D7D-B522-45F9-BDA1-12C45D357490}">
          <x15:cacheHierarchy aggregatedColumn="19"/>
        </ext>
      </extLst>
    </cacheHierarchy>
    <cacheHierarchy uniqueName="[Measures].[Min of Charges]" caption="Min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Count of Patient ID 2]" caption="Count of Patient ID 2" measure="1" displayFolder="" measureGroup="Medical Examinations" count="0" hidden="1">
      <extLst>
        <ext xmlns:x15="http://schemas.microsoft.com/office/spreadsheetml/2010/11/main" uri="{B97F6D7D-B522-45F9-BDA1-12C45D357490}">
          <x15:cacheHierarchy aggregatedColumn="9"/>
        </ext>
      </extLst>
    </cacheHierarchy>
    <cacheHierarchy uniqueName="[Measures].[Count of Smoker]" caption="Count of Smoker" measure="1" displayFolder="" measureGroup="Medical Examinations" count="0" hidden="1">
      <extLst>
        <ext xmlns:x15="http://schemas.microsoft.com/office/spreadsheetml/2010/11/main" uri="{B97F6D7D-B522-45F9-BDA1-12C45D357490}">
          <x15:cacheHierarchy aggregatedColumn="16"/>
        </ext>
      </extLst>
    </cacheHierarchy>
  </cacheHierarchies>
  <kpis count="1">
    <kpi uniqueName="Patients" caption="Patients" displayFolder="" measureGroup="Customer Names" parent="" value="[Measures].[Patients]" goal="[Measures].[_Patients Goal]" status="[Measures].[_Patients Status]" trend="" weight=""/>
  </kpis>
  <dimensions count="5">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efresh" uniqueName="[Refresh]" caption="Refresh"/>
  </dimensions>
  <measureGroups count="4">
    <measureGroup name="Customer Names" caption="Customer Names"/>
    <measureGroup name="Hospitalisation Details" caption="Hospitalisation Details"/>
    <measureGroup name="Medical Examinations" caption="Medical Examinations"/>
    <measureGroup name="Refresh" caption="Refresh"/>
  </measureGroups>
  <maps count="5">
    <map measureGroup="0" dimension="0"/>
    <map measureGroup="1" dimension="1"/>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805782291667" backgroundQuery="1" createdVersion="8" refreshedVersion="8" minRefreshableVersion="3" recordCount="0" supportSubquery="1" supportAdvancedDrill="1" xr:uid="{01FA4007-B18D-41FB-89ED-495955938C8E}">
  <cacheSource type="external" connectionId="5"/>
  <cacheFields count="2">
    <cacheField name="[Refresh].[Last Refresh].[Last Refresh]" caption="Last Refresh" numFmtId="0" hierarchy="19" level="1">
      <sharedItems count="1">
        <s v="22-07-2026 07:31:15 PM"/>
      </sharedItems>
    </cacheField>
    <cacheField name="[Medical Examinations].[Diabetes Status].[Diabetes Status]" caption="Diabetes Status" numFmtId="0" hierarchy="18" level="1">
      <sharedItems containsSemiMixedTypes="0" containsNonDate="0" containsString="0"/>
    </cacheField>
  </cacheFields>
  <cacheHierarchies count="53">
    <cacheHierarchy uniqueName="[Customer Names].[Patient ID]" caption="Patient ID" attribute="1" defaultMemberUniqueName="[Customer Names].[Patient ID].[All]" allUniqueName="[Customer Names].[Patient ID].[All]" dimensionUniqueName="[Customer Names]" displayFolder="" count="0" memberValueDatatype="130" unbalanced="0"/>
    <cacheHierarchy uniqueName="[Customer Names].[Full Name]" caption="Full Name" attribute="1" defaultMemberUniqueName="[Customer Names].[Full Name].[All]" allUniqueName="[Customer Names].[Full Name].[All]" dimensionUniqueName="[Customer Names]" displayFolder="" count="0" memberValueDatatype="130" unbalanced="0"/>
    <cacheHierarchy uniqueName="[Hospitalisation Details].[Patient ID]" caption="Patient ID" attribute="1" defaultMemberUniqueName="[Hospitalisation Details].[Patient ID].[All]" allUniqueName="[Hospitalisation Details].[Patient ID].[All]" dimensionUniqueName="[Hospitalisation Details]" displayFolder="" count="0" memberValueDatatype="13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Age]" caption="Age" attribute="1" defaultMemberUniqueName="[Hospitalisation Details].[Age].[All]" allUniqueName="[Hospitalisation Details].[Age].[All]" dimensionUniqueName="[Hospitalisation Details]" displayFolder="" count="0" memberValueDatatype="20" unbalanced="0"/>
    <cacheHierarchy uniqueName="[Hospitalisation Details].[Age Group]" caption="Age Group" attribute="1" defaultMemberUniqueName="[Hospitalisation Details].[Age Group].[All]" allUniqueName="[Hospitalisation Details].[Age Group].[All]" dimensionUniqueName="[Hospitalisation Details]" displayFolder="" count="0" memberValueDatatype="130" unbalanced="0"/>
    <cacheHierarchy uniqueName="[Medical Examinations].[Patient ID]" caption="Patient ID" attribute="1" defaultMemberUniqueName="[Medical Examinations].[Patient ID].[All]" allUniqueName="[Medical Examinations].[Patient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cacheHierarchy uniqueName="[Medical Examinations].[Number of Major Surgeries]" caption="Number of Major Surgeries" attribute="1" defaultMemberUniqueName="[Medical Examinations].[Number of Major Surgeries].[All]" allUniqueName="[Medical Examinations].[Number of Major Surgeries].[All]" dimensionUniqueName="[Medical Examinations]" displayFolder="" count="0" memberValueDatatype="2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Medical Examinations].[Weight Status]" caption="Weight Status" attribute="1" defaultMemberUniqueName="[Medical Examinations].[Weight Status].[All]" allUniqueName="[Medical Examinations].[Weight Status].[All]" dimensionUniqueName="[Medical Examinations]" displayFolder="" count="2" memberValueDatatype="130"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2" memberValueDatatype="130" unbalanced="0">
      <fieldsUsage count="2">
        <fieldUsage x="-1"/>
        <fieldUsage x="1"/>
      </fieldsUsage>
    </cacheHierarchy>
    <cacheHierarchy uniqueName="[Refresh].[Last Refresh]" caption="Last Refresh" attribute="1" defaultMemberUniqueName="[Refresh].[Last Refresh].[All]" allUniqueName="[Refresh].[Last Refresh].[All]" dimensionUniqueName="[Refresh]" displayFolder="" count="2" memberValueDatatype="130" unbalanced="0">
      <fieldsUsage count="2">
        <fieldUsage x="-1"/>
        <fieldUsage x="0"/>
      </fieldsUsage>
    </cacheHierarchy>
    <cacheHierarchy uniqueName="[Measures].[Cancer Patients]" caption="Cancer Patients" measure="1" displayFolder="" measureGroup="Medical Examinations" count="0"/>
    <cacheHierarchy uniqueName="[Measures].[Smokers]" caption="Smokers" measure="1" displayFolder="" measureGroup="Medical Examinations" count="0"/>
    <cacheHierarchy uniqueName="[Measures].[Avg. BMI]" caption="Avg. BMI" measure="1" displayFolder="" measureGroup="Medical Examinations" count="0"/>
    <cacheHierarchy uniqueName="[Measures].[Avg. HBA1C]" caption="Avg. HBA1C" measure="1" displayFolder="" measureGroup="Medical Examinations" count="0"/>
    <cacheHierarchy uniqueName="[Measures].[Transplant Patients]" caption="Transplant Patients" measure="1" displayFolder="" measureGroup="Medical Examinations" count="0"/>
    <cacheHierarchy uniqueName="[Measures].[Heart Patients]" caption="Heart Patients" measure="1" displayFolder="" measureGroup="Medical Examinations" count="0"/>
    <cacheHierarchy uniqueName="[Measures].[Smokers Percent]" caption="Smokers Percent" measure="1" displayFolder="" measureGroup="Medical Examinations" count="0"/>
    <cacheHierarchy uniqueName="[Measures].[Cancer Patients Percent]" caption="Cancer Patients Percent" measure="1" displayFolder="" measureGroup="Medical Examinations" count="0"/>
    <cacheHierarchy uniqueName="[Measures].[Smoker Cancer]" caption="Smoker Cancer" measure="1" displayFolder="" measureGroup="Medical Examinations" count="0"/>
    <cacheHierarchy uniqueName="[Measures].[Smoker Cancer Percent]" caption="Smoker Cancer Percent" measure="1" displayFolder="" measureGroup="Medical Examinations" count="0"/>
    <cacheHierarchy uniqueName="[Measures].[Patients]" caption="Patients" measure="1" displayFolder="" measureGroup="Customer Names" count="0"/>
    <cacheHierarchy uniqueName="[Measures].[Average Charges]" caption="Average Charges" measure="1" displayFolder="" measureGroup="Medical Examinations" count="0"/>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Customer Names]" caption="__XL_Count Customer Names" measure="1" displayFolder="" measureGroup="Customer Names" count="0" hidden="1"/>
    <cacheHierarchy uniqueName="[Measures].[__XL_Count Refresh]" caption="__XL_Count Refresh" measure="1" displayFolder="" measureGroup="Refresh" count="0" hidden="1"/>
    <cacheHierarchy uniqueName="[Measures].[__No measures defined]" caption="__No measures defined" measure="1" displayFolder="" count="0" hidden="1"/>
    <cacheHierarchy uniqueName="[Measures].[_Patients Goal]" caption="_Patients Goal" measure="1" displayFolder="" measureGroup="Customer Names" count="0" hidden="1"/>
    <cacheHierarchy uniqueName="[Measures].[_Patients Status]" caption="_Patients Status" measure="1" iconSet="6" displayFolder="" measureGroup="Customer Names" count="0" hidden="1"/>
    <cacheHierarchy uniqueName="[Measures].[Count of Cancer History]" caption="Count of Cancer History" measure="1" displayFolder="" measureGroup="Medical Examinations" count="0" hidden="1">
      <extLst>
        <ext xmlns:x15="http://schemas.microsoft.com/office/spreadsheetml/2010/11/main" uri="{B97F6D7D-B522-45F9-BDA1-12C45D357490}">
          <x15:cacheHierarchy aggregatedColumn="14"/>
        </ext>
      </extLst>
    </cacheHierarchy>
    <cacheHierarchy uniqueName="[Measures].[Sum of Charges]" caption="Sum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Average of Charges]" caption="Average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Count of Number of Major Surgeries]" caption="Count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Sum of Number of Major Surgeries]" caption="Sum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isation Details" count="0" hidden="1">
      <extLst>
        <ext xmlns:x15="http://schemas.microsoft.com/office/spreadsheetml/2010/11/main" uri="{B97F6D7D-B522-45F9-BDA1-12C45D357490}">
          <x15:cacheHierarchy aggregatedColumn="2"/>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Count of Last Refresh]" caption="Count of Last Refresh" measure="1" displayFolder="" measureGroup="Refresh" count="0" hidden="1">
      <extLst>
        <ext xmlns:x15="http://schemas.microsoft.com/office/spreadsheetml/2010/11/main" uri="{B97F6D7D-B522-45F9-BDA1-12C45D357490}">
          <x15:cacheHierarchy aggregatedColumn="19"/>
        </ext>
      </extLst>
    </cacheHierarchy>
    <cacheHierarchy uniqueName="[Measures].[Min of Charges]" caption="Min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Count of Patient ID 2]" caption="Count of Patient ID 2" measure="1" displayFolder="" measureGroup="Medical Examinations" count="0" hidden="1">
      <extLst>
        <ext xmlns:x15="http://schemas.microsoft.com/office/spreadsheetml/2010/11/main" uri="{B97F6D7D-B522-45F9-BDA1-12C45D357490}">
          <x15:cacheHierarchy aggregatedColumn="9"/>
        </ext>
      </extLst>
    </cacheHierarchy>
    <cacheHierarchy uniqueName="[Measures].[Count of Smoker]" caption="Count of Smoker" measure="1" displayFolder="" measureGroup="Medical Examinations" count="0" hidden="1">
      <extLst>
        <ext xmlns:x15="http://schemas.microsoft.com/office/spreadsheetml/2010/11/main" uri="{B97F6D7D-B522-45F9-BDA1-12C45D357490}">
          <x15:cacheHierarchy aggregatedColumn="16"/>
        </ext>
      </extLst>
    </cacheHierarchy>
  </cacheHierarchies>
  <kpis count="1">
    <kpi uniqueName="Patients" caption="Patients" displayFolder="" measureGroup="Customer Names" parent="" value="[Measures].[Patients]" goal="[Measures].[_Patients Goal]" status="[Measures].[_Patients Status]" trend="" weight=""/>
  </kpis>
  <dimensions count="5">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efresh" uniqueName="[Refresh]" caption="Refresh"/>
  </dimensions>
  <measureGroups count="4">
    <measureGroup name="Customer Names" caption="Customer Names"/>
    <measureGroup name="Hospitalisation Details" caption="Hospitalisation Details"/>
    <measureGroup name="Medical Examinations" caption="Medical Examinations"/>
    <measureGroup name="Refresh" caption="Refresh"/>
  </measureGroups>
  <maps count="5">
    <map measureGroup="0" dimension="0"/>
    <map measureGroup="1" dimension="1"/>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805783564814" backgroundQuery="1" createdVersion="8" refreshedVersion="8" minRefreshableVersion="3" recordCount="0" supportSubquery="1" supportAdvancedDrill="1" xr:uid="{AA804EC2-DEE4-4D4E-B395-FC7315628C24}">
  <cacheSource type="external" connectionId="5"/>
  <cacheFields count="3">
    <cacheField name="[Hospitalisation Details].[Age Group].[Age Group]" caption="Age Group" numFmtId="0" hierarchy="8" level="1">
      <sharedItems count="6">
        <s v="20-30"/>
        <s v="30-40"/>
        <s v="40-50"/>
        <s v="50-60"/>
        <s v="Above 60"/>
        <s v="Below 20"/>
      </sharedItems>
    </cacheField>
    <cacheField name="[Measures].[Average of Charges]" caption="Average of Charges" numFmtId="0" hierarchy="41" level="32767"/>
    <cacheField name="[Medical Examinations].[Diabetes Status].[Diabetes Status]" caption="Diabetes Status" numFmtId="0" hierarchy="18" level="1">
      <sharedItems containsSemiMixedTypes="0" containsNonDate="0" containsString="0"/>
    </cacheField>
  </cacheFields>
  <cacheHierarchies count="53">
    <cacheHierarchy uniqueName="[Customer Names].[Patient ID]" caption="Patient ID" attribute="1" defaultMemberUniqueName="[Customer Names].[Patient ID].[All]" allUniqueName="[Customer Names].[Patient ID].[All]" dimensionUniqueName="[Customer Names]" displayFolder="" count="0" memberValueDatatype="130" unbalanced="0"/>
    <cacheHierarchy uniqueName="[Customer Names].[Full Name]" caption="Full Name" attribute="1" defaultMemberUniqueName="[Customer Names].[Full Name].[All]" allUniqueName="[Customer Names].[Full Name].[All]" dimensionUniqueName="[Customer Names]" displayFolder="" count="0" memberValueDatatype="130" unbalanced="0"/>
    <cacheHierarchy uniqueName="[Hospitalisation Details].[Patient ID]" caption="Patient ID" attribute="1" defaultMemberUniqueName="[Hospitalisation Details].[Patient ID].[All]" allUniqueName="[Hospitalisation Details].[Patient ID].[All]" dimensionUniqueName="[Hospitalisation Details]" displayFolder="" count="0" memberValueDatatype="13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Age]" caption="Age" attribute="1" defaultMemberUniqueName="[Hospitalisation Details].[Age].[All]" allUniqueName="[Hospitalisation Details].[Age].[All]" dimensionUniqueName="[Hospitalisation Details]" displayFolder="" count="0" memberValueDatatype="20" unbalanced="0"/>
    <cacheHierarchy uniqueName="[Hospitalisation Details].[Age Group]" caption="Age Group" attribute="1" defaultMemberUniqueName="[Hospitalisation Details].[Age Group].[All]" allUniqueName="[Hospitalisation Details].[Age Group].[All]" dimensionUniqueName="[Hospitalisation Details]" displayFolder="" count="2" memberValueDatatype="130" unbalanced="0">
      <fieldsUsage count="2">
        <fieldUsage x="-1"/>
        <fieldUsage x="0"/>
      </fieldsUsage>
    </cacheHierarchy>
    <cacheHierarchy uniqueName="[Medical Examinations].[Patient ID]" caption="Patient ID" attribute="1" defaultMemberUniqueName="[Medical Examinations].[Patient ID].[All]" allUniqueName="[Medical Examinations].[Patient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cacheHierarchy uniqueName="[Medical Examinations].[Number of Major Surgeries]" caption="Number of Major Surgeries" attribute="1" defaultMemberUniqueName="[Medical Examinations].[Number of Major Surgeries].[All]" allUniqueName="[Medical Examinations].[Number of Major Surgeries].[All]" dimensionUniqueName="[Medical Examinations]" displayFolder="" count="0" memberValueDatatype="2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Medical Examinations].[Weight Status]" caption="Weight Status" attribute="1" defaultMemberUniqueName="[Medical Examinations].[Weight Status].[All]" allUniqueName="[Medical Examinations].[Weight Status].[All]" dimensionUniqueName="[Medical Examinations]" displayFolder="" count="2" memberValueDatatype="130"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2" memberValueDatatype="130" unbalanced="0">
      <fieldsUsage count="2">
        <fieldUsage x="-1"/>
        <fieldUsage x="2"/>
      </fieldsUsage>
    </cacheHierarchy>
    <cacheHierarchy uniqueName="[Refresh].[Last Refresh]" caption="Last Refresh" attribute="1" defaultMemberUniqueName="[Refresh].[Last Refresh].[All]" allUniqueName="[Refresh].[Last Refresh].[All]" dimensionUniqueName="[Refresh]" displayFolder="" count="0" memberValueDatatype="130" unbalanced="0"/>
    <cacheHierarchy uniqueName="[Measures].[Cancer Patients]" caption="Cancer Patients" measure="1" displayFolder="" measureGroup="Medical Examinations" count="0"/>
    <cacheHierarchy uniqueName="[Measures].[Smokers]" caption="Smokers" measure="1" displayFolder="" measureGroup="Medical Examinations" count="0"/>
    <cacheHierarchy uniqueName="[Measures].[Avg. BMI]" caption="Avg. BMI" measure="1" displayFolder="" measureGroup="Medical Examinations" count="0"/>
    <cacheHierarchy uniqueName="[Measures].[Avg. HBA1C]" caption="Avg. HBA1C" measure="1" displayFolder="" measureGroup="Medical Examinations" count="0"/>
    <cacheHierarchy uniqueName="[Measures].[Transplant Patients]" caption="Transplant Patients" measure="1" displayFolder="" measureGroup="Medical Examinations" count="0"/>
    <cacheHierarchy uniqueName="[Measures].[Heart Patients]" caption="Heart Patients" measure="1" displayFolder="" measureGroup="Medical Examinations" count="0"/>
    <cacheHierarchy uniqueName="[Measures].[Smokers Percent]" caption="Smokers Percent" measure="1" displayFolder="" measureGroup="Medical Examinations" count="0"/>
    <cacheHierarchy uniqueName="[Measures].[Cancer Patients Percent]" caption="Cancer Patients Percent" measure="1" displayFolder="" measureGroup="Medical Examinations" count="0"/>
    <cacheHierarchy uniqueName="[Measures].[Smoker Cancer]" caption="Smoker Cancer" measure="1" displayFolder="" measureGroup="Medical Examinations" count="0"/>
    <cacheHierarchy uniqueName="[Measures].[Smoker Cancer Percent]" caption="Smoker Cancer Percent" measure="1" displayFolder="" measureGroup="Medical Examinations" count="0"/>
    <cacheHierarchy uniqueName="[Measures].[Patients]" caption="Patients" measure="1" displayFolder="" measureGroup="Customer Names" count="0"/>
    <cacheHierarchy uniqueName="[Measures].[Average Charges]" caption="Average Charges" measure="1" displayFolder="" measureGroup="Medical Examinations" count="0"/>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Customer Names]" caption="__XL_Count Customer Names" measure="1" displayFolder="" measureGroup="Customer Names" count="0" hidden="1"/>
    <cacheHierarchy uniqueName="[Measures].[__XL_Count Refresh]" caption="__XL_Count Refresh" measure="1" displayFolder="" measureGroup="Refresh" count="0" hidden="1"/>
    <cacheHierarchy uniqueName="[Measures].[__No measures defined]" caption="__No measures defined" measure="1" displayFolder="" count="0" hidden="1"/>
    <cacheHierarchy uniqueName="[Measures].[_Patients Goal]" caption="_Patients Goal" measure="1" displayFolder="" measureGroup="Customer Names" count="0" hidden="1"/>
    <cacheHierarchy uniqueName="[Measures].[_Patients Status]" caption="_Patients Status" measure="1" iconSet="6" displayFolder="" measureGroup="Customer Names" count="0" hidden="1"/>
    <cacheHierarchy uniqueName="[Measures].[Count of Cancer History]" caption="Count of Cancer History" measure="1" displayFolder="" measureGroup="Medical Examinations" count="0" hidden="1">
      <extLst>
        <ext xmlns:x15="http://schemas.microsoft.com/office/spreadsheetml/2010/11/main" uri="{B97F6D7D-B522-45F9-BDA1-12C45D357490}">
          <x15:cacheHierarchy aggregatedColumn="14"/>
        </ext>
      </extLst>
    </cacheHierarchy>
    <cacheHierarchy uniqueName="[Measures].[Sum of Charges]" caption="Sum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Average of Charges]" caption="Average of Charges" measure="1" displayFolder="" measureGroup="Hospitalisation Detail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BMI]" caption="Sum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Count of Number of Major Surgeries]" caption="Count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Sum of Number of Major Surgeries]" caption="Sum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isation Details" count="0" hidden="1">
      <extLst>
        <ext xmlns:x15="http://schemas.microsoft.com/office/spreadsheetml/2010/11/main" uri="{B97F6D7D-B522-45F9-BDA1-12C45D357490}">
          <x15:cacheHierarchy aggregatedColumn="2"/>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Count of Last Refresh]" caption="Count of Last Refresh" measure="1" displayFolder="" measureGroup="Refresh" count="0" hidden="1">
      <extLst>
        <ext xmlns:x15="http://schemas.microsoft.com/office/spreadsheetml/2010/11/main" uri="{B97F6D7D-B522-45F9-BDA1-12C45D357490}">
          <x15:cacheHierarchy aggregatedColumn="19"/>
        </ext>
      </extLst>
    </cacheHierarchy>
    <cacheHierarchy uniqueName="[Measures].[Min of Charges]" caption="Min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Count of Patient ID 2]" caption="Count of Patient ID 2" measure="1" displayFolder="" measureGroup="Medical Examinations" count="0" hidden="1">
      <extLst>
        <ext xmlns:x15="http://schemas.microsoft.com/office/spreadsheetml/2010/11/main" uri="{B97F6D7D-B522-45F9-BDA1-12C45D357490}">
          <x15:cacheHierarchy aggregatedColumn="9"/>
        </ext>
      </extLst>
    </cacheHierarchy>
    <cacheHierarchy uniqueName="[Measures].[Count of Smoker]" caption="Count of Smoker" measure="1" displayFolder="" measureGroup="Medical Examinations" count="0" hidden="1">
      <extLst>
        <ext xmlns:x15="http://schemas.microsoft.com/office/spreadsheetml/2010/11/main" uri="{B97F6D7D-B522-45F9-BDA1-12C45D357490}">
          <x15:cacheHierarchy aggregatedColumn="16"/>
        </ext>
      </extLst>
    </cacheHierarchy>
  </cacheHierarchies>
  <kpis count="1">
    <kpi uniqueName="Patients" caption="Patients" displayFolder="" measureGroup="Customer Names" parent="" value="[Measures].[Patients]" goal="[Measures].[_Patients Goal]" status="[Measures].[_Patients Status]" trend="" weight=""/>
  </kpis>
  <dimensions count="5">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efresh" uniqueName="[Refresh]" caption="Refresh"/>
  </dimensions>
  <measureGroups count="4">
    <measureGroup name="Customer Names" caption="Customer Names"/>
    <measureGroup name="Hospitalisation Details" caption="Hospitalisation Details"/>
    <measureGroup name="Medical Examinations" caption="Medical Examinations"/>
    <measureGroup name="Refresh" caption="Refresh"/>
  </measureGroups>
  <maps count="5">
    <map measureGroup="0" dimension="0"/>
    <map measureGroup="1" dimension="1"/>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805784490738" backgroundQuery="1" createdVersion="8" refreshedVersion="8" minRefreshableVersion="3" recordCount="0" supportSubquery="1" supportAdvancedDrill="1" xr:uid="{7171DF71-E989-4F8A-8071-0C2E3C6B9EB7}">
  <cacheSource type="external" connectionId="5"/>
  <cacheFields count="4">
    <cacheField name="[Measures].[Average of HBA1C]" caption="Average of HBA1C" numFmtId="0" hierarchy="48" level="32767"/>
    <cacheField name="[Measures].[Average of BMI]" caption="Average of BMI" numFmtId="0" hierarchy="43" level="32767"/>
    <cacheField name="[Medical Examinations].[Number of Major Surgeries].[Number of Major Surgeries]" caption="Number of Major Surgeries" numFmtId="0" hierarchy="15"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Medical Examinations].[Number of Major Surgeries].&amp;[0]"/>
            <x15:cachedUniqueName index="1" name="[Medical Examinations].[Number of Major Surgeries].&amp;[1]"/>
            <x15:cachedUniqueName index="2" name="[Medical Examinations].[Number of Major Surgeries].&amp;[2]"/>
            <x15:cachedUniqueName index="3" name="[Medical Examinations].[Number of Major Surgeries].&amp;[3]"/>
          </x15:cachedUniqueNames>
        </ext>
      </extLst>
    </cacheField>
    <cacheField name="[Medical Examinations].[Diabetes Status].[Diabetes Status]" caption="Diabetes Status" numFmtId="0" hierarchy="18" level="1">
      <sharedItems containsSemiMixedTypes="0" containsNonDate="0" containsString="0"/>
    </cacheField>
  </cacheFields>
  <cacheHierarchies count="53">
    <cacheHierarchy uniqueName="[Customer Names].[Patient ID]" caption="Patient ID" attribute="1" defaultMemberUniqueName="[Customer Names].[Patient ID].[All]" allUniqueName="[Customer Names].[Patient ID].[All]" dimensionUniqueName="[Customer Names]" displayFolder="" count="0" memberValueDatatype="130" unbalanced="0"/>
    <cacheHierarchy uniqueName="[Customer Names].[Full Name]" caption="Full Name" attribute="1" defaultMemberUniqueName="[Customer Names].[Full Name].[All]" allUniqueName="[Customer Names].[Full Name].[All]" dimensionUniqueName="[Customer Names]" displayFolder="" count="0" memberValueDatatype="130" unbalanced="0"/>
    <cacheHierarchy uniqueName="[Hospitalisation Details].[Patient ID]" caption="Patient ID" attribute="1" defaultMemberUniqueName="[Hospitalisation Details].[Patient ID].[All]" allUniqueName="[Hospitalisation Details].[Patient ID].[All]" dimensionUniqueName="[Hospitalisation Details]" displayFolder="" count="2" memberValueDatatype="13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Age]" caption="Age" attribute="1" defaultMemberUniqueName="[Hospitalisation Details].[Age].[All]" allUniqueName="[Hospitalisation Details].[Age].[All]" dimensionUniqueName="[Hospitalisation Details]" displayFolder="" count="2" memberValueDatatype="20" unbalanced="0"/>
    <cacheHierarchy uniqueName="[Hospitalisation Details].[Age Group]" caption="Age Group" attribute="1" defaultMemberUniqueName="[Hospitalisation Details].[Age Group].[All]" allUniqueName="[Hospitalisation Details].[Age Group].[All]" dimensionUniqueName="[Hospitalisation Details]" displayFolder="" count="2" memberValueDatatype="130" unbalanced="0"/>
    <cacheHierarchy uniqueName="[Medical Examinations].[Patient ID]" caption="Patient ID" attribute="1" defaultMemberUniqueName="[Medical Examinations].[Patient ID].[All]" allUniqueName="[Medical Examinations].[Patient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cacheHierarchy uniqueName="[Medical Examinations].[Number of Major Surgeries]" caption="Number of Major Surgeries" attribute="1" defaultMemberUniqueName="[Medical Examinations].[Number of Major Surgeries].[All]" allUniqueName="[Medical Examinations].[Number of Major Surgeries].[All]" dimensionUniqueName="[Medical Examinations]" displayFolder="" count="2" memberValueDatatype="20" unbalanced="0">
      <fieldsUsage count="2">
        <fieldUsage x="-1"/>
        <fieldUsage x="2"/>
      </fieldsUsage>
    </cacheHierarchy>
    <cacheHierarchy uniqueName="[Medical Examinations].[Smoker]" caption="Smoker" attribute="1" defaultMemberUniqueName="[Medical Examinations].[Smoker].[All]" allUniqueName="[Medical Examinations].[Smoker].[All]" dimensionUniqueName="[Medical Examinations]" displayFolder="" count="2" memberValueDatatype="130" unbalanced="0"/>
    <cacheHierarchy uniqueName="[Medical Examinations].[Weight Status]" caption="Weight Status" attribute="1" defaultMemberUniqueName="[Medical Examinations].[Weight Status].[All]" allUniqueName="[Medical Examinations].[Weight Status].[All]" dimensionUniqueName="[Medical Examinations]" displayFolder="" count="2" memberValueDatatype="130"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2" memberValueDatatype="130" unbalanced="0">
      <fieldsUsage count="2">
        <fieldUsage x="-1"/>
        <fieldUsage x="3"/>
      </fieldsUsage>
    </cacheHierarchy>
    <cacheHierarchy uniqueName="[Refresh].[Last Refresh]" caption="Last Refresh" attribute="1" defaultMemberUniqueName="[Refresh].[Last Refresh].[All]" allUniqueName="[Refresh].[Last Refresh].[All]" dimensionUniqueName="[Refresh]" displayFolder="" count="0" memberValueDatatype="130" unbalanced="0"/>
    <cacheHierarchy uniqueName="[Measures].[Cancer Patients]" caption="Cancer Patients" measure="1" displayFolder="" measureGroup="Medical Examinations" count="0"/>
    <cacheHierarchy uniqueName="[Measures].[Smokers]" caption="Smokers" measure="1" displayFolder="" measureGroup="Medical Examinations" count="0"/>
    <cacheHierarchy uniqueName="[Measures].[Avg. BMI]" caption="Avg. BMI" measure="1" displayFolder="" measureGroup="Medical Examinations" count="0"/>
    <cacheHierarchy uniqueName="[Measures].[Avg. HBA1C]" caption="Avg. HBA1C" measure="1" displayFolder="" measureGroup="Medical Examinations" count="0"/>
    <cacheHierarchy uniqueName="[Measures].[Transplant Patients]" caption="Transplant Patients" measure="1" displayFolder="" measureGroup="Medical Examinations" count="0"/>
    <cacheHierarchy uniqueName="[Measures].[Heart Patients]" caption="Heart Patients" measure="1" displayFolder="" measureGroup="Medical Examinations" count="0"/>
    <cacheHierarchy uniqueName="[Measures].[Smokers Percent]" caption="Smokers Percent" measure="1" displayFolder="" measureGroup="Medical Examinations" count="0"/>
    <cacheHierarchy uniqueName="[Measures].[Cancer Patients Percent]" caption="Cancer Patients Percent" measure="1" displayFolder="" measureGroup="Medical Examinations" count="0"/>
    <cacheHierarchy uniqueName="[Measures].[Smoker Cancer]" caption="Smoker Cancer" measure="1" displayFolder="" measureGroup="Medical Examinations" count="0"/>
    <cacheHierarchy uniqueName="[Measures].[Smoker Cancer Percent]" caption="Smoker Cancer Percent" measure="1" displayFolder="" measureGroup="Medical Examinations" count="0"/>
    <cacheHierarchy uniqueName="[Measures].[Patients]" caption="Patients" measure="1" displayFolder="" measureGroup="Customer Names" count="0"/>
    <cacheHierarchy uniqueName="[Measures].[Average Charges]" caption="Average Charges" measure="1" displayFolder="" measureGroup="Medical Examinations" count="0"/>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Customer Names]" caption="__XL_Count Customer Names" measure="1" displayFolder="" measureGroup="Customer Names" count="0" hidden="1"/>
    <cacheHierarchy uniqueName="[Measures].[__XL_Count Refresh]" caption="__XL_Count Refresh" measure="1" displayFolder="" measureGroup="Refresh" count="0" hidden="1"/>
    <cacheHierarchy uniqueName="[Measures].[__No measures defined]" caption="__No measures defined" measure="1" displayFolder="" count="0" hidden="1"/>
    <cacheHierarchy uniqueName="[Measures].[_Patients Goal]" caption="_Patients Goal" measure="1" displayFolder="" measureGroup="Customer Names" count="0" hidden="1"/>
    <cacheHierarchy uniqueName="[Measures].[_Patients Status]" caption="_Patients Status" measure="1" iconSet="6" displayFolder="" measureGroup="Customer Names" count="0" hidden="1"/>
    <cacheHierarchy uniqueName="[Measures].[Count of Cancer History]" caption="Count of Cancer History" measure="1" displayFolder="" measureGroup="Medical Examinations" count="0" hidden="1">
      <extLst>
        <ext xmlns:x15="http://schemas.microsoft.com/office/spreadsheetml/2010/11/main" uri="{B97F6D7D-B522-45F9-BDA1-12C45D357490}">
          <x15:cacheHierarchy aggregatedColumn="14"/>
        </ext>
      </extLst>
    </cacheHierarchy>
    <cacheHierarchy uniqueName="[Measures].[Sum of Charges]" caption="Sum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Average of Charges]" caption="Average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Medical Examina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Number of Major Surgeries]" caption="Count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Sum of Number of Major Surgeries]" caption="Sum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isation Details" count="0" hidden="1">
      <extLst>
        <ext xmlns:x15="http://schemas.microsoft.com/office/spreadsheetml/2010/11/main" uri="{B97F6D7D-B522-45F9-BDA1-12C45D357490}">
          <x15:cacheHierarchy aggregatedColumn="2"/>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Medical Examination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Last Refresh]" caption="Count of Last Refresh" measure="1" displayFolder="" measureGroup="Refresh" count="0" hidden="1">
      <extLst>
        <ext xmlns:x15="http://schemas.microsoft.com/office/spreadsheetml/2010/11/main" uri="{B97F6D7D-B522-45F9-BDA1-12C45D357490}">
          <x15:cacheHierarchy aggregatedColumn="19"/>
        </ext>
      </extLst>
    </cacheHierarchy>
    <cacheHierarchy uniqueName="[Measures].[Min of Charges]" caption="Min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Count of Patient ID 2]" caption="Count of Patient ID 2" measure="1" displayFolder="" measureGroup="Medical Examinations" count="0" hidden="1">
      <extLst>
        <ext xmlns:x15="http://schemas.microsoft.com/office/spreadsheetml/2010/11/main" uri="{B97F6D7D-B522-45F9-BDA1-12C45D357490}">
          <x15:cacheHierarchy aggregatedColumn="9"/>
        </ext>
      </extLst>
    </cacheHierarchy>
    <cacheHierarchy uniqueName="[Measures].[Count of Smoker]" caption="Count of Smoker" measure="1" displayFolder="" measureGroup="Medical Examinations" count="0" hidden="1">
      <extLst>
        <ext xmlns:x15="http://schemas.microsoft.com/office/spreadsheetml/2010/11/main" uri="{B97F6D7D-B522-45F9-BDA1-12C45D357490}">
          <x15:cacheHierarchy aggregatedColumn="16"/>
        </ext>
      </extLst>
    </cacheHierarchy>
  </cacheHierarchies>
  <kpis count="1">
    <kpi uniqueName="Patients" caption="Patients" displayFolder="" measureGroup="Customer Names" parent="" value="[Measures].[Patients]" goal="[Measures].[_Patients Goal]" status="[Measures].[_Patients Status]" trend="" weight=""/>
  </kpis>
  <dimensions count="5">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Refresh" uniqueName="[Refresh]" caption="Refresh"/>
  </dimensions>
  <measureGroups count="4">
    <measureGroup name="Customer Names" caption="Customer Names"/>
    <measureGroup name="Hospitalisation Details" caption="Hospitalisation Details"/>
    <measureGroup name="Medical Examinations" caption="Medical Examinations"/>
    <measureGroup name="Refresh" caption="Refresh"/>
  </measureGroups>
  <maps count="5">
    <map measureGroup="0" dimension="0"/>
    <map measureGroup="1" dimension="1"/>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813413310185" backgroundQuery="1" createdVersion="3" refreshedVersion="8" minRefreshableVersion="3" recordCount="0" supportSubquery="1" supportAdvancedDrill="1" xr:uid="{6B5B0D64-F636-4ABA-93CB-B33C50FD1037}">
  <cacheSource type="external" connectionId="5">
    <extLst>
      <ext xmlns:x14="http://schemas.microsoft.com/office/spreadsheetml/2009/9/main" uri="{F057638F-6D5F-4e77-A914-E7F072B9BCA8}">
        <x14:sourceConnection name="ThisWorkbookDataModel"/>
      </ext>
    </extLst>
  </cacheSource>
  <cacheFields count="0"/>
  <cacheHierarchies count="53">
    <cacheHierarchy uniqueName="[Customer Names].[Patient ID]" caption="Patient ID" attribute="1" defaultMemberUniqueName="[Customer Names].[Patient ID].[All]" allUniqueName="[Customer Names].[Patient ID].[All]" dimensionUniqueName="[Customer Names]" displayFolder="" count="0" memberValueDatatype="130" unbalanced="0"/>
    <cacheHierarchy uniqueName="[Customer Names].[Full Name]" caption="Full Name" attribute="1" defaultMemberUniqueName="[Customer Names].[Full Name].[All]" allUniqueName="[Customer Names].[Full Name].[All]" dimensionUniqueName="[Customer Names]" displayFolder="" count="0" memberValueDatatype="130" unbalanced="0"/>
    <cacheHierarchy uniqueName="[Hospitalisation Details].[Patient ID]" caption="Patient ID" attribute="1" defaultMemberUniqueName="[Hospitalisation Details].[Patient ID].[All]" allUniqueName="[Hospitalisation Details].[Patient ID].[All]" dimensionUniqueName="[Hospitalisation Details]" displayFolder="" count="0" memberValueDatatype="13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Age]" caption="Age" attribute="1" defaultMemberUniqueName="[Hospitalisation Details].[Age].[All]" allUniqueName="[Hospitalisation Details].[Age].[All]" dimensionUniqueName="[Hospitalisation Details]" displayFolder="" count="0" memberValueDatatype="20" unbalanced="0"/>
    <cacheHierarchy uniqueName="[Hospitalisation Details].[Age Group]" caption="Age Group" attribute="1" defaultMemberUniqueName="[Hospitalisation Details].[Age Group].[All]" allUniqueName="[Hospitalisation Details].[Age Group].[All]" dimensionUniqueName="[Hospitalisation Details]" displayFolder="" count="0" memberValueDatatype="130" unbalanced="0"/>
    <cacheHierarchy uniqueName="[Medical Examinations].[Patient ID]" caption="Patient ID" attribute="1" defaultMemberUniqueName="[Medical Examinations].[Patient ID].[All]" allUniqueName="[Medical Examinations].[Patient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cacheHierarchy uniqueName="[Medical Examinations].[Number of Major Surgeries]" caption="Number of Major Surgeries" attribute="1" defaultMemberUniqueName="[Medical Examinations].[Number of Major Surgeries].[All]" allUniqueName="[Medical Examinations].[Number of Major Surgeries].[All]" dimensionUniqueName="[Medical Examinations]" displayFolder="" count="0" memberValueDatatype="2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Medical Examinations].[Weight Status]" caption="Weight Status" attribute="1" defaultMemberUniqueName="[Medical Examinations].[Weight Status].[All]" allUniqueName="[Medical Examinations].[Weight Status].[All]" dimensionUniqueName="[Medical Examinations]" displayFolder="" count="2" memberValueDatatype="130"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2" memberValueDatatype="130" unbalanced="0"/>
    <cacheHierarchy uniqueName="[Refresh].[Last Refresh]" caption="Last Refresh" attribute="1" defaultMemberUniqueName="[Refresh].[Last Refresh].[All]" allUniqueName="[Refresh].[Last Refresh].[All]" dimensionUniqueName="[Refresh]" displayFolder="" count="0" memberValueDatatype="130" unbalanced="0"/>
    <cacheHierarchy uniqueName="[Measures].[Cancer Patients]" caption="Cancer Patients" measure="1" displayFolder="" measureGroup="Medical Examinations" count="0"/>
    <cacheHierarchy uniqueName="[Measures].[Smokers]" caption="Smokers" measure="1" displayFolder="" measureGroup="Medical Examinations" count="0"/>
    <cacheHierarchy uniqueName="[Measures].[Avg. BMI]" caption="Avg. BMI" measure="1" displayFolder="" measureGroup="Medical Examinations" count="0"/>
    <cacheHierarchy uniqueName="[Measures].[Avg. HBA1C]" caption="Avg. HBA1C" measure="1" displayFolder="" measureGroup="Medical Examinations" count="0"/>
    <cacheHierarchy uniqueName="[Measures].[Transplant Patients]" caption="Transplant Patients" measure="1" displayFolder="" measureGroup="Medical Examinations" count="0"/>
    <cacheHierarchy uniqueName="[Measures].[Heart Patients]" caption="Heart Patients" measure="1" displayFolder="" measureGroup="Medical Examinations" count="0"/>
    <cacheHierarchy uniqueName="[Measures].[Smokers Percent]" caption="Smokers Percent" measure="1" displayFolder="" measureGroup="Medical Examinations" count="0"/>
    <cacheHierarchy uniqueName="[Measures].[Cancer Patients Percent]" caption="Cancer Patients Percent" measure="1" displayFolder="" measureGroup="Medical Examinations" count="0"/>
    <cacheHierarchy uniqueName="[Measures].[Smoker Cancer]" caption="Smoker Cancer" measure="1" displayFolder="" measureGroup="Medical Examinations" count="0"/>
    <cacheHierarchy uniqueName="[Measures].[Smoker Cancer Percent]" caption="Smoker Cancer Percent" measure="1" displayFolder="" measureGroup="Medical Examinations" count="0"/>
    <cacheHierarchy uniqueName="[Measures].[Patients]" caption="Patients" measure="1" displayFolder="" measureGroup="Customer Names" count="0"/>
    <cacheHierarchy uniqueName="[Measures].[Average Charges]" caption="Average Charges" measure="1" displayFolder="" measureGroup="Medical Examinations" count="0"/>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Customer Names]" caption="__XL_Count Customer Names" measure="1" displayFolder="" measureGroup="Customer Names" count="0" hidden="1"/>
    <cacheHierarchy uniqueName="[Measures].[__XL_Count Refresh]" caption="__XL_Count Refresh" measure="1" displayFolder="" measureGroup="Refresh" count="0" hidden="1"/>
    <cacheHierarchy uniqueName="[Measures].[__No measures defined]" caption="__No measures defined" measure="1" displayFolder="" count="0" hidden="1"/>
    <cacheHierarchy uniqueName="[Measures].[_Patients Goal]" caption="_Patients Goal" measure="1" displayFolder="" measureGroup="Customer Names" count="0" hidden="1"/>
    <cacheHierarchy uniqueName="[Measures].[_Patients Status]" caption="_Patients Status" measure="1" iconSet="6" displayFolder="" measureGroup="Customer Names" count="0" hidden="1"/>
    <cacheHierarchy uniqueName="[Measures].[Count of Cancer History]" caption="Count of Cancer History" measure="1" displayFolder="" measureGroup="Medical Examinations" count="0" hidden="1">
      <extLst>
        <ext xmlns:x15="http://schemas.microsoft.com/office/spreadsheetml/2010/11/main" uri="{B97F6D7D-B522-45F9-BDA1-12C45D357490}">
          <x15:cacheHierarchy aggregatedColumn="14"/>
        </ext>
      </extLst>
    </cacheHierarchy>
    <cacheHierarchy uniqueName="[Measures].[Sum of Charges]" caption="Sum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Average of Charges]" caption="Average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Medical Examinations" count="0" hidden="1">
      <extLst>
        <ext xmlns:x15="http://schemas.microsoft.com/office/spreadsheetml/2010/11/main" uri="{B97F6D7D-B522-45F9-BDA1-12C45D357490}">
          <x15:cacheHierarchy aggregatedColumn="10"/>
        </ext>
      </extLst>
    </cacheHierarchy>
    <cacheHierarchy uniqueName="[Measures].[Count of Number of Major Surgeries]" caption="Count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Sum of Number of Major Surgeries]" caption="Sum of Number of Major Surgeries" measure="1" displayFolder="" measureGroup="Medical Examinations"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isation Details" count="0" hidden="1">
      <extLst>
        <ext xmlns:x15="http://schemas.microsoft.com/office/spreadsheetml/2010/11/main" uri="{B97F6D7D-B522-45F9-BDA1-12C45D357490}">
          <x15:cacheHierarchy aggregatedColumn="2"/>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Medical Examinations" count="0" hidden="1">
      <extLst>
        <ext xmlns:x15="http://schemas.microsoft.com/office/spreadsheetml/2010/11/main" uri="{B97F6D7D-B522-45F9-BDA1-12C45D357490}">
          <x15:cacheHierarchy aggregatedColumn="11"/>
        </ext>
      </extLst>
    </cacheHierarchy>
    <cacheHierarchy uniqueName="[Measures].[Count of Last Refresh]" caption="Count of Last Refresh" measure="1" displayFolder="" measureGroup="Refresh" count="0" hidden="1">
      <extLst>
        <ext xmlns:x15="http://schemas.microsoft.com/office/spreadsheetml/2010/11/main" uri="{B97F6D7D-B522-45F9-BDA1-12C45D357490}">
          <x15:cacheHierarchy aggregatedColumn="19"/>
        </ext>
      </extLst>
    </cacheHierarchy>
    <cacheHierarchy uniqueName="[Measures].[Min of Charges]" caption="Min of Charges" measure="1" displayFolder="" measureGroup="Hospitalisation Details" count="0" hidden="1">
      <extLst>
        <ext xmlns:x15="http://schemas.microsoft.com/office/spreadsheetml/2010/11/main" uri="{B97F6D7D-B522-45F9-BDA1-12C45D357490}">
          <x15:cacheHierarchy aggregatedColumn="3"/>
        </ext>
      </extLst>
    </cacheHierarchy>
    <cacheHierarchy uniqueName="[Measures].[Count of Patient ID 2]" caption="Count of Patient ID 2" measure="1" displayFolder="" measureGroup="Medical Examinations" count="0" hidden="1">
      <extLst>
        <ext xmlns:x15="http://schemas.microsoft.com/office/spreadsheetml/2010/11/main" uri="{B97F6D7D-B522-45F9-BDA1-12C45D357490}">
          <x15:cacheHierarchy aggregatedColumn="9"/>
        </ext>
      </extLst>
    </cacheHierarchy>
    <cacheHierarchy uniqueName="[Measures].[Count of Smoker]" caption="Count of Smoker" measure="1" displayFolder="" measureGroup="Medical Examinations" count="0" hidden="1">
      <extLst>
        <ext xmlns:x15="http://schemas.microsoft.com/office/spreadsheetml/2010/11/main" uri="{B97F6D7D-B522-45F9-BDA1-12C45D357490}">
          <x15:cacheHierarchy aggregatedColumn="16"/>
        </ext>
      </extLst>
    </cacheHierarchy>
  </cacheHierarchies>
  <kpis count="1">
    <kpi uniqueName="Patients" caption="Patients" displayFolder="" measureGroup="Customer Names" parent="" value="[Measures].[Patients]" goal="[Measures].[_Patients Goal]" status="[Measures].[_Patients Status]" trend="" weight=""/>
  </kpis>
  <extLst>
    <ext xmlns:x14="http://schemas.microsoft.com/office/spreadsheetml/2009/9/main" uri="{725AE2AE-9491-48be-B2B4-4EB974FC3084}">
      <x14:pivotCacheDefinition slicerData="1" pivotCacheId="14356072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94F518-D6B3-4053-8166-C90420F95F05}" name="PivotTable6" cacheId="9" applyNumberFormats="0" applyBorderFormats="0" applyFontFormats="0" applyPatternFormats="0" applyAlignmentFormats="0" applyWidthHeightFormats="1" dataCaption="Values" tag="0d934ce3-656c-4f43-91e5-8bea32cb6cd8" updatedVersion="8" minRefreshableVersion="3" useAutoFormatting="1" itemPrintTitles="1" createdVersion="8" indent="0" outline="1" outlineData="1" multipleFieldFilters="0" chartFormat="30">
  <location ref="B70:D7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Avg. of BMI" fld="1" subtotal="average" baseField="2" baseItem="0"/>
    <dataField name="Avg. of HBA1C" fld="0" subtotal="average" baseField="2" baseItem="0"/>
  </dataFields>
  <formats count="2">
    <format dxfId="1">
      <pivotArea grandRow="1" outline="0" collapsedLevelsAreSubtotals="1" fieldPosition="0"/>
    </format>
    <format dxfId="0">
      <pivotArea outline="0" collapsedLevelsAreSubtotals="1" fieldPosition="0"/>
    </format>
  </formats>
  <chartFormats count="4">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harges"/>
    <pivotHierarchy dragToData="1"/>
    <pivotHierarchy dragToData="1" caption="Avg. of BMI"/>
    <pivotHierarchy dragToData="1"/>
    <pivotHierarchy dragToData="1" caption="Sum of Number of Major Surgeries"/>
    <pivotHierarchy dragToData="1"/>
    <pivotHierarchy dragToData="1"/>
    <pivotHierarchy dragToData="1" caption="Avg. of HBA1C"/>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 Examinations]"/>
        <x15:activeTabTopLevelEntity name="[Hospitalisation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167385-AC79-449C-9DD9-F02F6704CF52}" name="ChargesWeightDiabetes" cacheId="0" applyNumberFormats="0" applyBorderFormats="0" applyFontFormats="0" applyPatternFormats="0" applyAlignmentFormats="0" applyWidthHeightFormats="1" dataCaption="Values" tag="a089b0c0-029c-42c3-b763-96a8a3a4854f" updatedVersion="8" minRefreshableVersion="3" useAutoFormatting="1" itemPrintTitles="1" createdVersion="8" indent="0" outline="1" outlineData="1" multipleFieldFilters="0" chartFormat="4">
  <location ref="B83:F89"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name="Count of Patient ID" fld="2" subtotal="count" baseField="0" baseItem="0"/>
  </dataFields>
  <formats count="2">
    <format dxfId="3">
      <pivotArea grandRow="1" outline="0" collapsedLevelsAreSubtotals="1" fieldPosition="0"/>
    </format>
    <format dxfId="2">
      <pivotArea outline="0" collapsedLevelsAreSubtotals="1"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harges"/>
    <pivotHierarchy dragToData="1"/>
    <pivotHierarchy dragToData="1" caption="Average of BMI"/>
    <pivotHierarchy dragToData="1"/>
    <pivotHierarchy dragToData="1" caption="Sum of Number of Major Surgeries"/>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 Examinations]"/>
        <x15:activeTabTopLevelEntity name="[Hospitalisation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B5DD2D-1F05-4BE9-9C7B-E3D1A8498171}" name="TransplantMajorSurgery" cacheId="4" applyNumberFormats="0" applyBorderFormats="0" applyFontFormats="0" applyPatternFormats="0" applyAlignmentFormats="0" applyWidthHeightFormats="1" dataCaption="Values" tag="34b5e5e0-ef09-4ca9-a500-992ea5ed0924" updatedVersion="8" minRefreshableVersion="3" useAutoFormatting="1" itemPrintTitles="1" createdVersion="8" indent="0" outline="1" outlineData="1" multipleFieldFilters="0" chartFormat="34">
  <location ref="B29:F33"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4">
    <i>
      <x/>
    </i>
    <i>
      <x v="1"/>
    </i>
    <i>
      <x v="2"/>
    </i>
    <i t="grand">
      <x/>
    </i>
  </colItems>
  <dataFields count="1">
    <dataField name="Count of Number of Major Surgeries" fld="2" subtotal="count" baseField="0" baseItem="0"/>
  </dataFields>
  <formats count="1">
    <format dxfId="4">
      <pivotArea grandRow="1" outline="0" collapsedLevelsAreSubtotals="1" fieldPosition="0"/>
    </format>
  </formats>
  <chartFormats count="1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series="1">
      <pivotArea type="data" outline="0" fieldPosition="0">
        <references count="2">
          <reference field="4294967294" count="1" selected="0">
            <x v="0"/>
          </reference>
          <reference field="1" count="1" selected="0">
            <x v="0"/>
          </reference>
        </references>
      </pivotArea>
    </chartFormat>
    <chartFormat chart="2" format="4" series="1">
      <pivotArea type="data" outline="0" fieldPosition="0">
        <references count="2">
          <reference field="4294967294" count="1" selected="0">
            <x v="0"/>
          </reference>
          <reference field="1" count="1" selected="0">
            <x v="1"/>
          </reference>
        </references>
      </pivotArea>
    </chartFormat>
    <chartFormat chart="2" format="5" series="1">
      <pivotArea type="data" outline="0" fieldPosition="0">
        <references count="2">
          <reference field="4294967294" count="1" selected="0">
            <x v="0"/>
          </reference>
          <reference field="1" count="1" selected="0">
            <x v="2"/>
          </reference>
        </references>
      </pivotArea>
    </chartFormat>
    <chartFormat chart="28" format="15" series="1">
      <pivotArea type="data" outline="0" fieldPosition="0">
        <references count="2">
          <reference field="4294967294" count="1" selected="0">
            <x v="0"/>
          </reference>
          <reference field="1" count="1" selected="0">
            <x v="0"/>
          </reference>
        </references>
      </pivotArea>
    </chartFormat>
    <chartFormat chart="28" format="16">
      <pivotArea type="data" outline="0" fieldPosition="0">
        <references count="3">
          <reference field="4294967294" count="1" selected="0">
            <x v="0"/>
          </reference>
          <reference field="0" count="1" selected="0">
            <x v="0"/>
          </reference>
          <reference field="1" count="1" selected="0">
            <x v="0"/>
          </reference>
        </references>
      </pivotArea>
    </chartFormat>
    <chartFormat chart="28" format="17">
      <pivotArea type="data" outline="0" fieldPosition="0">
        <references count="3">
          <reference field="4294967294" count="1" selected="0">
            <x v="0"/>
          </reference>
          <reference field="0" count="1" selected="0">
            <x v="1"/>
          </reference>
          <reference field="1" count="1" selected="0">
            <x v="0"/>
          </reference>
        </references>
      </pivotArea>
    </chartFormat>
    <chartFormat chart="28" format="18" series="1">
      <pivotArea type="data" outline="0" fieldPosition="0">
        <references count="2">
          <reference field="4294967294" count="1" selected="0">
            <x v="0"/>
          </reference>
          <reference field="1" count="1" selected="0">
            <x v="1"/>
          </reference>
        </references>
      </pivotArea>
    </chartFormat>
    <chartFormat chart="28" format="19">
      <pivotArea type="data" outline="0" fieldPosition="0">
        <references count="3">
          <reference field="4294967294" count="1" selected="0">
            <x v="0"/>
          </reference>
          <reference field="0" count="1" selected="0">
            <x v="0"/>
          </reference>
          <reference field="1" count="1" selected="0">
            <x v="1"/>
          </reference>
        </references>
      </pivotArea>
    </chartFormat>
    <chartFormat chart="28" format="20">
      <pivotArea type="data" outline="0" fieldPosition="0">
        <references count="3">
          <reference field="4294967294" count="1" selected="0">
            <x v="0"/>
          </reference>
          <reference field="0" count="1" selected="0">
            <x v="1"/>
          </reference>
          <reference field="1" count="1" selected="0">
            <x v="1"/>
          </reference>
        </references>
      </pivotArea>
    </chartFormat>
    <chartFormat chart="28" format="21" series="1">
      <pivotArea type="data" outline="0" fieldPosition="0">
        <references count="2">
          <reference field="4294967294" count="1" selected="0">
            <x v="0"/>
          </reference>
          <reference field="1" count="1" selected="0">
            <x v="2"/>
          </reference>
        </references>
      </pivotArea>
    </chartFormat>
    <chartFormat chart="28" format="22">
      <pivotArea type="data" outline="0" fieldPosition="0">
        <references count="3">
          <reference field="4294967294" count="1" selected="0">
            <x v="0"/>
          </reference>
          <reference field="0" count="1" selected="0">
            <x v="0"/>
          </reference>
          <reference field="1" count="1" selected="0">
            <x v="2"/>
          </reference>
        </references>
      </pivotArea>
    </chartFormat>
    <chartFormat chart="28" format="23">
      <pivotArea type="data" outline="0" fieldPosition="0">
        <references count="3">
          <reference field="4294967294" count="1" selected="0">
            <x v="0"/>
          </reference>
          <reference field="0" count="1" selected="0">
            <x v="1"/>
          </reference>
          <reference field="1" count="1" selected="0">
            <x v="2"/>
          </reference>
        </references>
      </pivotArea>
    </chartFormat>
    <chartFormat chart="2" format="6">
      <pivotArea type="data" outline="0" fieldPosition="0">
        <references count="3">
          <reference field="4294967294" count="1" selected="0">
            <x v="0"/>
          </reference>
          <reference field="0" count="1" selected="0">
            <x v="1"/>
          </reference>
          <reference field="1" count="1" selected="0">
            <x v="0"/>
          </reference>
        </references>
      </pivotArea>
    </chartFormat>
    <chartFormat chart="2" format="7">
      <pivotArea type="data" outline="0" fieldPosition="0">
        <references count="3">
          <reference field="4294967294" count="1" selected="0">
            <x v="0"/>
          </reference>
          <reference field="0" count="1" selected="0">
            <x v="1"/>
          </reference>
          <reference field="1" count="1" selected="0">
            <x v="1"/>
          </reference>
        </references>
      </pivotArea>
    </chartFormat>
    <chartFormat chart="2" format="8">
      <pivotArea type="data" outline="0" fieldPosition="0">
        <references count="3">
          <reference field="4294967294" count="1" selected="0">
            <x v="0"/>
          </reference>
          <reference field="0" count="1" selected="0">
            <x v="1"/>
          </reference>
          <reference field="1"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harges"/>
    <pivotHierarchy dragToData="1"/>
    <pivotHierarchy dragToData="1" caption="Average of BMI"/>
    <pivotHierarchy dragToData="1" caption="Count of Number of Major Surgeries"/>
    <pivotHierarchy dragToData="1" caption="Sum of Number of Major Surgeries"/>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 Examinations]"/>
        <x15:activeTabTopLevelEntity name="[Hospitalisation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B51559-C69C-49CC-BCAB-D95CCD70C3AB}" name="Numbers" cacheId="2" applyNumberFormats="0" applyBorderFormats="0" applyFontFormats="0" applyPatternFormats="0" applyAlignmentFormats="0" applyWidthHeightFormats="1" dataCaption="Values" tag="0d4185eb-09c3-4561-8beb-fb626072c281" updatedVersion="8" minRefreshableVersion="3" useAutoFormatting="1" subtotalHiddenItems="1" itemPrintTitles="1" createdVersion="8" indent="0" outline="1" outlineData="1" multipleFieldFilters="0">
  <location ref="B6:M7" firstHeaderRow="0" firstDataRow="1" firstDataCol="0"/>
  <pivotFields count="14">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2"/>
  </colFields>
  <colItems count="12">
    <i>
      <x/>
    </i>
    <i i="1">
      <x v="1"/>
    </i>
    <i i="2">
      <x v="2"/>
    </i>
    <i i="3">
      <x v="3"/>
    </i>
    <i i="4">
      <x v="4"/>
    </i>
    <i i="5">
      <x v="5"/>
    </i>
    <i i="6">
      <x v="6"/>
    </i>
    <i i="7">
      <x v="7"/>
    </i>
    <i i="8">
      <x v="8"/>
    </i>
    <i i="9">
      <x v="9"/>
    </i>
    <i i="10">
      <x v="10"/>
    </i>
    <i i="11">
      <x v="11"/>
    </i>
  </colItems>
  <dataFields count="12">
    <dataField fld="0" subtotal="count" baseField="0" baseItem="0"/>
    <dataField fld="1" subtotal="count" baseField="0" baseItem="0"/>
    <dataField fld="2" subtotal="count" baseField="0" baseItem="0"/>
    <dataField fld="3" subtotal="count" baseField="0" baseItem="0" numFmtId="1"/>
    <dataField fld="4" subtotal="count" baseField="0" baseItem="0" numFmtId="1"/>
    <dataField fld="5" subtotal="count" baseField="0" baseItem="0"/>
    <dataField fld="6" subtotal="count" baseField="0" baseItem="0"/>
    <dataField fld="7" subtotal="count" baseField="0" baseItem="0" numFmtId="164"/>
    <dataField fld="8" subtotal="count" baseField="0" baseItem="0" numFmtId="164"/>
    <dataField fld="9" subtotal="count" baseField="0" baseItem="0"/>
    <dataField fld="10" subtotal="count" baseField="0" baseItem="0" numFmtId="164"/>
    <dataField fld="12" subtotal="count" baseField="0" baseItem="0" numFmtId="165"/>
  </dataFields>
  <formats count="6">
    <format dxfId="10">
      <pivotArea outline="0" collapsedLevelsAreSubtotals="1" fieldPosition="0">
        <references count="1">
          <reference field="4294967294" count="1" selected="0">
            <x v="8"/>
          </reference>
        </references>
      </pivotArea>
    </format>
    <format dxfId="9">
      <pivotArea outline="0" collapsedLevelsAreSubtotals="1" fieldPosition="0">
        <references count="1">
          <reference field="4294967294" count="1" selected="0">
            <x v="7"/>
          </reference>
        </references>
      </pivotArea>
    </format>
    <format dxfId="8">
      <pivotArea outline="0" collapsedLevelsAreSubtotals="1" fieldPosition="0">
        <references count="1">
          <reference field="4294967294" count="1" selected="0">
            <x v="10"/>
          </reference>
        </references>
      </pivotArea>
    </format>
    <format dxfId="7">
      <pivotArea outline="0" collapsedLevelsAreSubtotals="1" fieldPosition="0">
        <references count="1">
          <reference field="4294967294" count="1" selected="0">
            <x v="4"/>
          </reference>
        </references>
      </pivotArea>
    </format>
    <format dxfId="6">
      <pivotArea outline="0" collapsedLevelsAreSubtotals="1" fieldPosition="0">
        <references count="1">
          <reference field="4294967294" count="1" selected="0">
            <x v="3"/>
          </reference>
        </references>
      </pivotArea>
    </format>
    <format dxfId="5">
      <pivotArea outline="0" collapsedLevelsAreSubtotals="1" fieldPosition="0">
        <references count="1">
          <reference field="4294967294" count="1" selected="0">
            <x v="11"/>
          </reference>
        </references>
      </pivotArea>
    </format>
  </formats>
  <pivotHierarchies count="54">
    <pivotHierarchy dragToData="1"/>
    <pivotHierarchy dragToData="1"/>
    <pivotHierarchy dragToData="1"/>
    <pivotHierarchy dragToData="1"/>
    <pivotHierarchy multipleItemSelectionAllowed="1" dragToData="1">
      <members count="1" level="1">
        <member name="[Hospitalisation Details].[Hospital Tier].&amp;[Tier - 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isation Details]"/>
        <x15:activeTabTopLevelEntity name="[Customer Names]"/>
        <x15:activeTabTopLevelEntity name="[Medical Examin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CE3A5E-B846-4148-BE14-75A815FBCCA2}" name="PivotTable5" cacheId="8" applyNumberFormats="0" applyBorderFormats="0" applyFontFormats="0" applyPatternFormats="0" applyAlignmentFormats="0" applyWidthHeightFormats="1" dataCaption="Values" tag="3a1a7d58-aedb-4512-9b55-10ba5fe761c2" updatedVersion="8" minRefreshableVersion="3" useAutoFormatting="1" itemPrintTitles="1" createdVersion="8" indent="0" outline="1" outlineData="1" multipleFieldFilters="0" chartFormat="22">
  <location ref="B56:C63"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Charges" fld="1" subtotal="average" baseField="0" baseItem="0"/>
  </dataFields>
  <formats count="2">
    <format dxfId="12">
      <pivotArea grandRow="1" outline="0" collapsedLevelsAreSubtotals="1" fieldPosition="0"/>
    </format>
    <format dxfId="11">
      <pivotArea outline="0" collapsedLevelsAreSubtotals="1"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harges"/>
    <pivotHierarchy dragToData="1"/>
    <pivotHierarchy dragToData="1" caption="Average of BMI"/>
    <pivotHierarchy dragToData="1"/>
    <pivotHierarchy dragToData="1" caption="Sum of Number of Major Surgeries"/>
    <pivotHierarchy dragToData="1"/>
    <pivotHierarchy dragToData="1"/>
    <pivotHierarchy dragToData="1" caption="Average of HBA1C"/>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 Examinations]"/>
        <x15:activeTabTopLevelEntity name="[Hospitalisation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CFF36A-C00B-4AA9-9F7A-4888697A6418}" name="PivotTable3" cacheId="7" applyNumberFormats="0" applyBorderFormats="0" applyFontFormats="0" applyPatternFormats="0" applyAlignmentFormats="0" applyWidthHeightFormats="1" dataCaption="Values" tag="3d38f519-289c-4b36-a3d4-4fe3860980a9" updatedVersion="8" minRefreshableVersion="3" useAutoFormatting="1" subtotalHiddenItems="1" itemPrintTitles="1" createdVersion="8" indent="0" outline="1" outlineData="1" multipleFieldFilters="0" chartFormat="6">
  <location ref="I10:I12"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formats count="1">
    <format dxfId="13">
      <pivotArea dataOnly="0" labelOnly="1" fieldPosition="0">
        <references count="1">
          <reference field="0" count="0"/>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 Examinations]"/>
        <x15:activeTabTopLevelEntity name="[Refres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70A518-4D8A-480A-B264-84014D4F1A58}" name="SmokerCancer" cacheId="1" applyNumberFormats="0" applyBorderFormats="0" applyFontFormats="0" applyPatternFormats="0" applyAlignmentFormats="0" applyWidthHeightFormats="1" dataCaption="Values" tag="3d38f519-289c-4b36-a3d4-4fe3860980a9" updatedVersion="8" minRefreshableVersion="3" useAutoFormatting="1" subtotalHiddenItems="1" itemPrintTitles="1" createdVersion="8" indent="0" outline="1" outlineData="1" multipleFieldFilters="0" chartFormat="6">
  <location ref="B10:C17" firstHeaderRow="1" firstDataRow="1" firstDataCol="1"/>
  <pivotFields count="4">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0"/>
    <field x="1"/>
  </rowFields>
  <rowItems count="7">
    <i>
      <x/>
    </i>
    <i r="1">
      <x/>
    </i>
    <i r="1">
      <x v="1"/>
    </i>
    <i>
      <x v="1"/>
    </i>
    <i r="1">
      <x/>
    </i>
    <i r="1">
      <x v="1"/>
    </i>
    <i t="grand">
      <x/>
    </i>
  </rowItems>
  <colItems count="1">
    <i/>
  </colItems>
  <dataFields count="1">
    <dataField name="Count of Cancer History" fld="2"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0"/>
          </reference>
          <reference field="1" count="1" selected="0">
            <x v="0"/>
          </reference>
        </references>
      </pivotArea>
    </chartFormat>
    <chartFormat chart="0" format="2">
      <pivotArea type="data" outline="0" fieldPosition="0">
        <references count="3">
          <reference field="4294967294" count="1" selected="0">
            <x v="0"/>
          </reference>
          <reference field="0" count="1" selected="0">
            <x v="0"/>
          </reference>
          <reference field="1" count="1" selected="0">
            <x v="1"/>
          </reference>
        </references>
      </pivotArea>
    </chartFormat>
    <chartFormat chart="0" format="3">
      <pivotArea type="data" outline="0" fieldPosition="0">
        <references count="3">
          <reference field="4294967294" count="1" selected="0">
            <x v="0"/>
          </reference>
          <reference field="0" count="1" selected="0">
            <x v="1"/>
          </reference>
          <reference field="1" count="1" selected="0">
            <x v="0"/>
          </reference>
        </references>
      </pivotArea>
    </chartFormat>
    <chartFormat chart="0" format="4">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6"/>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 Examin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9E0D90-45B1-49C2-8D26-CDC15DBAFAF2}" name="PivotTable2" cacheId="6" applyNumberFormats="0" applyBorderFormats="0" applyFontFormats="0" applyPatternFormats="0" applyAlignmentFormats="0" applyWidthHeightFormats="1" dataCaption="Values" tag="a84a883b-8892-45e4-bf5a-549220c7e479" updatedVersion="8" minRefreshableVersion="3" useAutoFormatting="1" itemPrintTitles="1" createdVersion="8" indent="0" outline="1" outlineData="1" multipleFieldFilters="0" chartFormat="22">
  <location ref="B48:G52"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5">
    <i>
      <x/>
    </i>
    <i>
      <x v="1"/>
    </i>
    <i>
      <x v="2"/>
    </i>
    <i>
      <x v="3"/>
    </i>
    <i t="grand">
      <x/>
    </i>
  </colItems>
  <dataFields count="1">
    <dataField name="Count of Patient ID" fld="2" subtotal="count" baseField="0" baseItem="0"/>
  </dataFields>
  <formats count="2">
    <format dxfId="15">
      <pivotArea grandRow="1" outline="0" collapsedLevelsAreSubtotals="1" fieldPosition="0"/>
    </format>
    <format dxfId="14">
      <pivotArea outline="0" collapsedLevelsAreSubtotals="1" fieldPosition="0"/>
    </format>
  </formats>
  <chartFormats count="16">
    <chartFormat chart="18" format="0" series="1">
      <pivotArea type="data" outline="0" fieldPosition="0">
        <references count="2">
          <reference field="4294967294" count="1" selected="0">
            <x v="0"/>
          </reference>
          <reference field="1" count="1" selected="0">
            <x v="0"/>
          </reference>
        </references>
      </pivotArea>
    </chartFormat>
    <chartFormat chart="18" format="1" series="1">
      <pivotArea type="data" outline="0" fieldPosition="0">
        <references count="2">
          <reference field="4294967294" count="1" selected="0">
            <x v="0"/>
          </reference>
          <reference field="1" count="1" selected="0">
            <x v="1"/>
          </reference>
        </references>
      </pivotArea>
    </chartFormat>
    <chartFormat chart="18" format="2" series="1">
      <pivotArea type="data" outline="0" fieldPosition="0">
        <references count="2">
          <reference field="4294967294" count="1" selected="0">
            <x v="0"/>
          </reference>
          <reference field="1" count="1" selected="0">
            <x v="2"/>
          </reference>
        </references>
      </pivotArea>
    </chartFormat>
    <chartFormat chart="18" format="3" series="1">
      <pivotArea type="data" outline="0" fieldPosition="0">
        <references count="2">
          <reference field="4294967294" count="1" selected="0">
            <x v="0"/>
          </reference>
          <reference field="1" count="1" selected="0">
            <x v="3"/>
          </reference>
        </references>
      </pivotArea>
    </chartFormat>
    <chartFormat chart="19" format="4" series="1">
      <pivotArea type="data" outline="0" fieldPosition="0">
        <references count="2">
          <reference field="4294967294" count="1" selected="0">
            <x v="0"/>
          </reference>
          <reference field="1" count="1" selected="0">
            <x v="0"/>
          </reference>
        </references>
      </pivotArea>
    </chartFormat>
    <chartFormat chart="19" format="5" series="1">
      <pivotArea type="data" outline="0" fieldPosition="0">
        <references count="2">
          <reference field="4294967294" count="1" selected="0">
            <x v="0"/>
          </reference>
          <reference field="1" count="1" selected="0">
            <x v="1"/>
          </reference>
        </references>
      </pivotArea>
    </chartFormat>
    <chartFormat chart="19" format="6" series="1">
      <pivotArea type="data" outline="0" fieldPosition="0">
        <references count="2">
          <reference field="4294967294" count="1" selected="0">
            <x v="0"/>
          </reference>
          <reference field="1" count="1" selected="0">
            <x v="2"/>
          </reference>
        </references>
      </pivotArea>
    </chartFormat>
    <chartFormat chart="19" format="7" series="1">
      <pivotArea type="data" outline="0" fieldPosition="0">
        <references count="2">
          <reference field="4294967294" count="1" selected="0">
            <x v="0"/>
          </reference>
          <reference field="1" count="1" selected="0">
            <x v="3"/>
          </reference>
        </references>
      </pivotArea>
    </chartFormat>
    <chartFormat chart="20" format="8" series="1">
      <pivotArea type="data" outline="0" fieldPosition="0">
        <references count="2">
          <reference field="4294967294" count="1" selected="0">
            <x v="0"/>
          </reference>
          <reference field="1" count="1" selected="0">
            <x v="0"/>
          </reference>
        </references>
      </pivotArea>
    </chartFormat>
    <chartFormat chart="20" format="9" series="1">
      <pivotArea type="data" outline="0" fieldPosition="0">
        <references count="2">
          <reference field="4294967294" count="1" selected="0">
            <x v="0"/>
          </reference>
          <reference field="1" count="1" selected="0">
            <x v="1"/>
          </reference>
        </references>
      </pivotArea>
    </chartFormat>
    <chartFormat chart="20" format="10" series="1">
      <pivotArea type="data" outline="0" fieldPosition="0">
        <references count="2">
          <reference field="4294967294" count="1" selected="0">
            <x v="0"/>
          </reference>
          <reference field="1" count="1" selected="0">
            <x v="2"/>
          </reference>
        </references>
      </pivotArea>
    </chartFormat>
    <chartFormat chart="20" format="11" series="1">
      <pivotArea type="data" outline="0" fieldPosition="0">
        <references count="2">
          <reference field="4294967294" count="1" selected="0">
            <x v="0"/>
          </reference>
          <reference field="1" count="1" selected="0">
            <x v="3"/>
          </reference>
        </references>
      </pivotArea>
    </chartFormat>
    <chartFormat chart="21" format="8" series="1">
      <pivotArea type="data" outline="0" fieldPosition="0">
        <references count="2">
          <reference field="4294967294" count="1" selected="0">
            <x v="0"/>
          </reference>
          <reference field="1" count="1" selected="0">
            <x v="0"/>
          </reference>
        </references>
      </pivotArea>
    </chartFormat>
    <chartFormat chart="21" format="9" series="1">
      <pivotArea type="data" outline="0" fieldPosition="0">
        <references count="2">
          <reference field="4294967294" count="1" selected="0">
            <x v="0"/>
          </reference>
          <reference field="1" count="1" selected="0">
            <x v="1"/>
          </reference>
        </references>
      </pivotArea>
    </chartFormat>
    <chartFormat chart="21" format="10" series="1">
      <pivotArea type="data" outline="0" fieldPosition="0">
        <references count="2">
          <reference field="4294967294" count="1" selected="0">
            <x v="0"/>
          </reference>
          <reference field="1" count="1" selected="0">
            <x v="2"/>
          </reference>
        </references>
      </pivotArea>
    </chartFormat>
    <chartFormat chart="21" format="11" series="1">
      <pivotArea type="data" outline="0" fieldPosition="0">
        <references count="2">
          <reference field="4294967294" count="1" selected="0">
            <x v="0"/>
          </reference>
          <reference field="1" count="1" selected="0">
            <x v="3"/>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harges"/>
    <pivotHierarchy dragToData="1"/>
    <pivotHierarchy dragToData="1" caption="Average of BMI"/>
    <pivotHierarchy dragToData="1"/>
    <pivotHierarchy dragToData="1" caption="Sum of Number of Major Surgeries"/>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 Examinations]"/>
        <x15:activeTabTopLevelEntity name="[Hospitalisation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737C18-EC89-4AA8-85CF-1DBA62113286}" name="SmokerCancerCharges" cacheId="3" applyNumberFormats="0" applyBorderFormats="0" applyFontFormats="0" applyPatternFormats="0" applyAlignmentFormats="0" applyWidthHeightFormats="1" dataCaption="Values" tag="de79d22e-aafb-4968-a534-c7cf033e5ab1" updatedVersion="8" minRefreshableVersion="3" useAutoFormatting="1" itemPrintTitles="1" createdVersion="8" indent="0" outline="1" outlineData="1" multipleFieldFilters="0" chartFormat="13">
  <location ref="B19:E23"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Patient ID" fld="2" subtotal="count" baseField="0" baseItem="0"/>
  </dataFields>
  <formats count="5">
    <format dxfId="20">
      <pivotArea collapsedLevelsAreSubtotals="1" fieldPosition="0">
        <references count="2">
          <reference field="0" count="1" selected="0">
            <x v="0"/>
          </reference>
          <reference field="1" count="0"/>
        </references>
      </pivotArea>
    </format>
    <format dxfId="19">
      <pivotArea collapsedLevelsAreSubtotals="1" fieldPosition="0">
        <references count="1">
          <reference field="0" count="1">
            <x v="1"/>
          </reference>
        </references>
      </pivotArea>
    </format>
    <format dxfId="18">
      <pivotArea collapsedLevelsAreSubtotals="1" fieldPosition="0">
        <references count="2">
          <reference field="0" count="1" selected="0">
            <x v="1"/>
          </reference>
          <reference field="1" count="0"/>
        </references>
      </pivotArea>
    </format>
    <format dxfId="17">
      <pivotArea grandRow="1" outline="0" collapsedLevelsAreSubtotals="1" fieldPosition="0"/>
    </format>
    <format dxfId="16">
      <pivotArea field="0" grandCol="1" collapsedLevelsAreSubtotals="1" axis="axisRow" fieldPosition="0">
        <references count="1">
          <reference field="0" count="1">
            <x v="0"/>
          </reference>
        </references>
      </pivotArea>
    </format>
  </formats>
  <chartFormats count="8">
    <chartFormat chart="4" format="6" series="1">
      <pivotArea type="data" outline="0" fieldPosition="0">
        <references count="1">
          <reference field="1" count="1" selected="0">
            <x v="0"/>
          </reference>
        </references>
      </pivotArea>
    </chartFormat>
    <chartFormat chart="4" format="7"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0"/>
          </reference>
        </references>
      </pivotArea>
    </chartFormat>
    <chartFormat chart="0" format="3" series="1">
      <pivotArea type="data" outline="0" fieldPosition="0">
        <references count="1">
          <reference field="1" count="1" selected="0">
            <x v="1"/>
          </reference>
        </references>
      </pivotArea>
    </chartFormat>
    <chartFormat chart="4" format="8" series="1">
      <pivotArea type="data" outline="0" fieldPosition="0">
        <references count="2">
          <reference field="4294967294" count="1" selected="0">
            <x v="0"/>
          </reference>
          <reference field="1" count="1" selected="0">
            <x v="1"/>
          </reference>
        </references>
      </pivotArea>
    </chartFormat>
    <chartFormat chart="4" format="9"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harg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 Examinations]"/>
        <x15:activeTabTopLevelEntity name="[Hospitalisation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A10F8A-2A4E-4C7D-BC84-78A7FB4A614F}" name="PivotTable1" cacheId="5" applyNumberFormats="0" applyBorderFormats="0" applyFontFormats="0" applyPatternFormats="0" applyAlignmentFormats="0" applyWidthHeightFormats="1" dataCaption="Values" tag="fbcf1fee-725f-4f60-9095-6529bf811509" updatedVersion="8" minRefreshableVersion="3" useAutoFormatting="1" itemPrintTitles="1" createdVersion="8" indent="0" outline="1" outlineData="1" multipleFieldFilters="0" chartFormat="25">
  <location ref="B37:F42"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4">
    <i>
      <x/>
    </i>
    <i>
      <x v="1"/>
    </i>
    <i>
      <x v="2"/>
    </i>
    <i t="grand">
      <x/>
    </i>
  </colItems>
  <dataFields count="1">
    <dataField name="Average of Charges" fld="2" subtotal="average" baseField="1" baseItem="0"/>
  </dataFields>
  <formats count="2">
    <format dxfId="22">
      <pivotArea grandRow="1" outline="0" collapsedLevelsAreSubtotals="1" fieldPosition="0"/>
    </format>
    <format dxfId="21">
      <pivotArea outline="0" collapsedLevelsAreSubtotals="1"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harges"/>
    <pivotHierarchy dragToData="1"/>
    <pivotHierarchy dragToData="1" caption="Average of BMI"/>
    <pivotHierarchy dragToData="1"/>
    <pivotHierarchy dragToData="1" caption="Sum of Number of Major Surgeries"/>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 Examinations]"/>
        <x15:activeTabTopLevelEntity name="[Hospitalisation 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E6FAD771-C191-444C-B1AD-A3862845F5C8}" sourceName="[Medical Examinations].[Diabetes Status]">
  <pivotTables>
    <pivotTable tabId="1" name="SmokerCancer"/>
    <pivotTable tabId="1" name="Numbers"/>
    <pivotTable tabId="1" name="SmokerCancerCharges"/>
    <pivotTable tabId="1" name="TransplantMajorSurgery"/>
    <pivotTable tabId="1" name="PivotTable1"/>
    <pivotTable tabId="1" name="PivotTable2"/>
    <pivotTable tabId="1" name="PivotTable3"/>
    <pivotTable tabId="1" name="PivotTable5"/>
    <pivotTable tabId="1" name="PivotTable6"/>
  </pivotTables>
  <data>
    <olap pivotCacheId="1435607289">
      <levels count="2">
        <level uniqueName="[Medical Examinations].[Diabetes Status].[(All)]" sourceCaption="(All)" count="0"/>
        <level uniqueName="[Medical Examinations].[Diabetes Status].[Diabetes Status]" sourceCaption="Diabetes Status" count="3">
          <ranges>
            <range startItem="0">
              <i n="[Medical Examinations].[Diabetes Status].&amp;[Diabetes]" c="Diabetes"/>
              <i n="[Medical Examinations].[Diabetes Status].&amp;[Normal]" c="Normal"/>
              <i n="[Medical Examinations].[Diabetes Status].&amp;[Prediabetes]" c="Prediabetes"/>
            </range>
          </ranges>
        </level>
      </levels>
      <selections count="1">
        <selection n="[Medical Examinations].[Diabetes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97DB1B4F-71DE-4B15-9559-03AB0C986B81}" sourceName="[Medical Examinations].[Weight Status]">
  <pivotTables>
    <pivotTable tabId="1" name="SmokerCancer"/>
    <pivotTable tabId="1" name="Numbers"/>
    <pivotTable tabId="1" name="SmokerCancerCharges"/>
    <pivotTable tabId="1" name="TransplantMajorSurgery"/>
    <pivotTable tabId="1" name="PivotTable1"/>
    <pivotTable tabId="1" name="PivotTable2"/>
    <pivotTable tabId="1" name="PivotTable3"/>
    <pivotTable tabId="1" name="PivotTable5"/>
    <pivotTable tabId="1" name="PivotTable6"/>
  </pivotTables>
  <data>
    <olap pivotCacheId="1435607289">
      <levels count="2">
        <level uniqueName="[Medical Examinations].[Weight Status].[(All)]" sourceCaption="(All)" count="0"/>
        <level uniqueName="[Medical Examinations].[Weight Status].[Weight Status]" sourceCaption="Weight Status" count="4">
          <ranges>
            <range startItem="0">
              <i n="[Medical Examinations].[Weight Status].&amp;[Normal Weight]" c="Normal Weight"/>
              <i n="[Medical Examinations].[Weight Status].&amp;[Obesity]" c="Obesity"/>
              <i n="[Medical Examinations].[Weight Status].&amp;[Overweight]" c="Overweight"/>
              <i n="[Medical Examinations].[Weight Status].&amp;[Underweight]" c="Underweight"/>
            </range>
          </ranges>
        </level>
      </levels>
      <selections count="1">
        <selection n="[Medical Examinations].[Weight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E238E220-D749-4AC7-B325-E5C5C0B9F37B}" sourceName="[Medical Examinations].[Cancer History]">
  <pivotTables>
    <pivotTable tabId="1" name="Numbers"/>
    <pivotTable tabId="1" name="ChargesWeightDiabetes"/>
    <pivotTable tabId="1" name="PivotTable1"/>
    <pivotTable tabId="1" name="PivotTable2"/>
    <pivotTable tabId="1" name="PivotTable3"/>
    <pivotTable tabId="1" name="SmokerCancer"/>
    <pivotTable tabId="1" name="SmokerCancerCharges"/>
    <pivotTable tabId="1" name="TransplantMajorSurgery"/>
    <pivotTable tabId="1" name="PivotTable5"/>
    <pivotTable tabId="1" name="PivotTable6"/>
  </pivotTables>
  <data>
    <olap pivotCacheId="1435607289">
      <levels count="2">
        <level uniqueName="[Medical Examinations].[Cancer History].[(All)]" sourceCaption="(All)" count="0"/>
        <level uniqueName="[Medical Examinations].[Cancer History].[Cancer History]" sourceCaption="Cancer History" count="2">
          <ranges>
            <range startItem="0">
              <i n="[Medical Examinations].[Cancer History].&amp;[Cancer]" c="Cancer"/>
              <i n="[Medical Examinations].[Cancer History].&amp;[No Cancer]" c="No Cancer"/>
            </range>
          </ranges>
        </level>
      </levels>
      <selections count="1">
        <selection n="[Medical Examinations].[Cancer Hist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9D8CADA4-2A5A-43FB-BEBA-066663CA5188}" cache="Slicer_Diabetes_Status" caption="Diabetes Status" level="1" style="new slicer" rowHeight="234950"/>
  <slicer name="Weight Status" xr10:uid="{D9E64D23-2528-4211-81E6-A07498BF281F}" cache="Slicer_Weight_Status" caption="Weight Status" level="1" style="new slicer" rowHeight="234950"/>
  <slicer name="Cancer History" xr10:uid="{2F11547B-113D-499D-B44D-6578E3C932A9}" cache="Slicer_Cancer_History" caption="Cancer History" level="1" style="new slic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M89"/>
  <sheetViews>
    <sheetView topLeftCell="A70" zoomScaleNormal="100" workbookViewId="0">
      <selection activeCell="O85" sqref="O85"/>
    </sheetView>
  </sheetViews>
  <sheetFormatPr defaultRowHeight="14.4" x14ac:dyDescent="0.3"/>
  <cols>
    <col min="2" max="2" width="12.5546875" bestFit="1" customWidth="1"/>
    <col min="3" max="3" width="10.88671875" bestFit="1" customWidth="1"/>
    <col min="4" max="4" width="13.21875" bestFit="1" customWidth="1"/>
    <col min="5" max="5" width="4" bestFit="1" customWidth="1"/>
    <col min="6" max="6" width="3" bestFit="1" customWidth="1"/>
    <col min="7" max="7" width="10.77734375" bestFit="1" customWidth="1"/>
    <col min="8" max="8" width="16.109375" bestFit="1" customWidth="1"/>
    <col min="9" max="9" width="21.33203125" bestFit="1" customWidth="1"/>
    <col min="10" max="10" width="21.109375" bestFit="1" customWidth="1"/>
    <col min="11" max="11" width="13.77734375" bestFit="1" customWidth="1"/>
    <col min="12" max="12" width="20.77734375" bestFit="1" customWidth="1"/>
    <col min="13" max="13" width="15.109375" bestFit="1" customWidth="1"/>
    <col min="14" max="22" width="6" bestFit="1" customWidth="1"/>
    <col min="23" max="23" width="5" bestFit="1" customWidth="1"/>
    <col min="24" max="40" width="6" bestFit="1" customWidth="1"/>
    <col min="41" max="41" width="5" bestFit="1" customWidth="1"/>
    <col min="42" max="44" width="6" bestFit="1" customWidth="1"/>
    <col min="45" max="45" width="5" bestFit="1" customWidth="1"/>
    <col min="46" max="49" width="6" bestFit="1" customWidth="1"/>
    <col min="50" max="50" width="5" bestFit="1" customWidth="1"/>
    <col min="51" max="55" width="6" bestFit="1" customWidth="1"/>
    <col min="56" max="56" width="5" bestFit="1" customWidth="1"/>
    <col min="57" max="62" width="6" bestFit="1" customWidth="1"/>
    <col min="63" max="63" width="5" bestFit="1" customWidth="1"/>
    <col min="64" max="67" width="6" bestFit="1" customWidth="1"/>
    <col min="68" max="68" width="5" bestFit="1" customWidth="1"/>
    <col min="69" max="69" width="6" bestFit="1" customWidth="1"/>
    <col min="70" max="70" width="7" bestFit="1" customWidth="1"/>
    <col min="71" max="84" width="6" bestFit="1" customWidth="1"/>
    <col min="85" max="85" width="7" bestFit="1" customWidth="1"/>
    <col min="86" max="86" width="5" bestFit="1" customWidth="1"/>
    <col min="87" max="89" width="6" bestFit="1" customWidth="1"/>
    <col min="90" max="90" width="5" bestFit="1" customWidth="1"/>
    <col min="91" max="92" width="6" bestFit="1" customWidth="1"/>
    <col min="93" max="93" width="7" bestFit="1" customWidth="1"/>
    <col min="94" max="94" width="5" bestFit="1" customWidth="1"/>
    <col min="95" max="98" width="6" bestFit="1" customWidth="1"/>
    <col min="99" max="99" width="5" bestFit="1" customWidth="1"/>
    <col min="100" max="102" width="6" bestFit="1" customWidth="1"/>
    <col min="103" max="103" width="5" bestFit="1" customWidth="1"/>
    <col min="104" max="106" width="6" bestFit="1" customWidth="1"/>
    <col min="107" max="107" width="5" bestFit="1" customWidth="1"/>
    <col min="108" max="109" width="6" bestFit="1" customWidth="1"/>
    <col min="110" max="110" width="7" bestFit="1" customWidth="1"/>
    <col min="111" max="111" width="6" bestFit="1" customWidth="1"/>
    <col min="112" max="112" width="5" bestFit="1" customWidth="1"/>
    <col min="113" max="116" width="6" bestFit="1" customWidth="1"/>
    <col min="117" max="117" width="7" bestFit="1" customWidth="1"/>
    <col min="118" max="121" width="6" bestFit="1" customWidth="1"/>
    <col min="122" max="122" width="5" bestFit="1" customWidth="1"/>
    <col min="123" max="123" width="6" bestFit="1" customWidth="1"/>
    <col min="124" max="124" width="5" bestFit="1" customWidth="1"/>
    <col min="125" max="130" width="6" bestFit="1" customWidth="1"/>
    <col min="131" max="131" width="5" bestFit="1" customWidth="1"/>
    <col min="132" max="132" width="6" bestFit="1" customWidth="1"/>
    <col min="133" max="133" width="7" bestFit="1" customWidth="1"/>
    <col min="134" max="139" width="6" bestFit="1" customWidth="1"/>
    <col min="140" max="140" width="5" bestFit="1" customWidth="1"/>
    <col min="141" max="142" width="6" bestFit="1" customWidth="1"/>
    <col min="143" max="143" width="5" bestFit="1" customWidth="1"/>
    <col min="144" max="147" width="6" bestFit="1" customWidth="1"/>
    <col min="148" max="148" width="7" bestFit="1" customWidth="1"/>
    <col min="149" max="158" width="6" bestFit="1" customWidth="1"/>
    <col min="159" max="159" width="7" bestFit="1" customWidth="1"/>
    <col min="160" max="163" width="6" bestFit="1" customWidth="1"/>
    <col min="164" max="164" width="3" bestFit="1" customWidth="1"/>
    <col min="165" max="168" width="6" bestFit="1" customWidth="1"/>
    <col min="169" max="169" width="7" bestFit="1" customWidth="1"/>
    <col min="170" max="176" width="6" bestFit="1" customWidth="1"/>
    <col min="177" max="177" width="5" bestFit="1" customWidth="1"/>
    <col min="178" max="183" width="6" bestFit="1" customWidth="1"/>
    <col min="184" max="184" width="5" bestFit="1" customWidth="1"/>
    <col min="185" max="186" width="6" bestFit="1" customWidth="1"/>
    <col min="187" max="187" width="7" bestFit="1" customWidth="1"/>
    <col min="188" max="194" width="6" bestFit="1" customWidth="1"/>
    <col min="195" max="195" width="5" bestFit="1" customWidth="1"/>
    <col min="196" max="197" width="6" bestFit="1" customWidth="1"/>
    <col min="198" max="198" width="5" bestFit="1" customWidth="1"/>
    <col min="199" max="199" width="7" bestFit="1" customWidth="1"/>
    <col min="200" max="202" width="6" bestFit="1" customWidth="1"/>
    <col min="203" max="203" width="7" bestFit="1" customWidth="1"/>
    <col min="204" max="204" width="5" bestFit="1" customWidth="1"/>
    <col min="205" max="208" width="6" bestFit="1" customWidth="1"/>
    <col min="209" max="209" width="7" bestFit="1" customWidth="1"/>
    <col min="210" max="210" width="6" bestFit="1" customWidth="1"/>
    <col min="211" max="211" width="5" bestFit="1" customWidth="1"/>
    <col min="212" max="213" width="6" bestFit="1" customWidth="1"/>
    <col min="214" max="214" width="5" bestFit="1" customWidth="1"/>
    <col min="215" max="215" width="7" bestFit="1" customWidth="1"/>
    <col min="216" max="224" width="6" bestFit="1" customWidth="1"/>
    <col min="225" max="225" width="5" bestFit="1" customWidth="1"/>
    <col min="226" max="226" width="6" bestFit="1" customWidth="1"/>
    <col min="227" max="227" width="7" bestFit="1" customWidth="1"/>
    <col min="228" max="229" width="6" bestFit="1" customWidth="1"/>
    <col min="230" max="230" width="5" bestFit="1" customWidth="1"/>
    <col min="231" max="235" width="6" bestFit="1" customWidth="1"/>
    <col min="236" max="236" width="5" bestFit="1" customWidth="1"/>
    <col min="237" max="242" width="6" bestFit="1" customWidth="1"/>
    <col min="243" max="243" width="5" bestFit="1" customWidth="1"/>
    <col min="244" max="250" width="6" bestFit="1" customWidth="1"/>
    <col min="251" max="251" width="5" bestFit="1" customWidth="1"/>
    <col min="252" max="254" width="6" bestFit="1" customWidth="1"/>
    <col min="255" max="255" width="5" bestFit="1" customWidth="1"/>
    <col min="256" max="257" width="6" bestFit="1" customWidth="1"/>
    <col min="258" max="258" width="7" bestFit="1" customWidth="1"/>
    <col min="259" max="259" width="6" bestFit="1" customWidth="1"/>
    <col min="260" max="260" width="5" bestFit="1" customWidth="1"/>
    <col min="261" max="261" width="6" bestFit="1" customWidth="1"/>
    <col min="262" max="262" width="5" bestFit="1" customWidth="1"/>
    <col min="263" max="263" width="6" bestFit="1" customWidth="1"/>
    <col min="264" max="264" width="7" bestFit="1" customWidth="1"/>
    <col min="265" max="267" width="6" bestFit="1" customWidth="1"/>
    <col min="268" max="268" width="5" bestFit="1" customWidth="1"/>
    <col min="269" max="269" width="7" bestFit="1" customWidth="1"/>
    <col min="270" max="272" width="6" bestFit="1" customWidth="1"/>
    <col min="273" max="273" width="5" bestFit="1" customWidth="1"/>
    <col min="274" max="279" width="6" bestFit="1" customWidth="1"/>
    <col min="280" max="280" width="7" bestFit="1" customWidth="1"/>
    <col min="281" max="282" width="6" bestFit="1" customWidth="1"/>
    <col min="283" max="283" width="3" bestFit="1" customWidth="1"/>
    <col min="284" max="287" width="6" bestFit="1" customWidth="1"/>
    <col min="288" max="288" width="5" bestFit="1" customWidth="1"/>
    <col min="289" max="289" width="6" bestFit="1" customWidth="1"/>
    <col min="290" max="290" width="7" bestFit="1" customWidth="1"/>
    <col min="291" max="291" width="6" bestFit="1" customWidth="1"/>
    <col min="292" max="292" width="5" bestFit="1" customWidth="1"/>
    <col min="293" max="295" width="6" bestFit="1" customWidth="1"/>
    <col min="296" max="296" width="5" bestFit="1" customWidth="1"/>
    <col min="297" max="304" width="6" bestFit="1" customWidth="1"/>
    <col min="305" max="305" width="7" bestFit="1" customWidth="1"/>
    <col min="306" max="308" width="6" bestFit="1" customWidth="1"/>
    <col min="309" max="309" width="5" bestFit="1" customWidth="1"/>
    <col min="310" max="313" width="6" bestFit="1" customWidth="1"/>
    <col min="314" max="314" width="7" bestFit="1" customWidth="1"/>
    <col min="315" max="318" width="6" bestFit="1" customWidth="1"/>
    <col min="319" max="319" width="5" bestFit="1" customWidth="1"/>
    <col min="320" max="321" width="6" bestFit="1" customWidth="1"/>
    <col min="322" max="322" width="7" bestFit="1" customWidth="1"/>
    <col min="323" max="326" width="6" bestFit="1" customWidth="1"/>
    <col min="327" max="327" width="3" bestFit="1" customWidth="1"/>
    <col min="328" max="329" width="6" bestFit="1" customWidth="1"/>
    <col min="330" max="330" width="7" bestFit="1" customWidth="1"/>
    <col min="331" max="331" width="5" bestFit="1" customWidth="1"/>
    <col min="332" max="335" width="6" bestFit="1" customWidth="1"/>
    <col min="336" max="336" width="5" bestFit="1" customWidth="1"/>
    <col min="337" max="338" width="6" bestFit="1" customWidth="1"/>
    <col min="339" max="339" width="7" bestFit="1" customWidth="1"/>
    <col min="340" max="340" width="5" bestFit="1" customWidth="1"/>
    <col min="341" max="344" width="6" bestFit="1" customWidth="1"/>
    <col min="345" max="345" width="5" bestFit="1" customWidth="1"/>
    <col min="346" max="347" width="6" bestFit="1" customWidth="1"/>
    <col min="348" max="348" width="7" bestFit="1" customWidth="1"/>
    <col min="349" max="353" width="6" bestFit="1" customWidth="1"/>
    <col min="354" max="354" width="5" bestFit="1" customWidth="1"/>
    <col min="355" max="355" width="6" bestFit="1" customWidth="1"/>
    <col min="356" max="356" width="7" bestFit="1" customWidth="1"/>
    <col min="357" max="357" width="6" bestFit="1" customWidth="1"/>
    <col min="358" max="358" width="5" bestFit="1" customWidth="1"/>
    <col min="359" max="361" width="6" bestFit="1" customWidth="1"/>
    <col min="362" max="362" width="5" bestFit="1" customWidth="1"/>
    <col min="363" max="364" width="6" bestFit="1" customWidth="1"/>
    <col min="365" max="365" width="7" bestFit="1" customWidth="1"/>
    <col min="366" max="368" width="6" bestFit="1" customWidth="1"/>
    <col min="369" max="369" width="5" bestFit="1" customWidth="1"/>
    <col min="370" max="372" width="6" bestFit="1" customWidth="1"/>
    <col min="373" max="373" width="3" bestFit="1" customWidth="1"/>
    <col min="374" max="375" width="6" bestFit="1" customWidth="1"/>
    <col min="376" max="376" width="7" bestFit="1" customWidth="1"/>
    <col min="377" max="377" width="6" bestFit="1" customWidth="1"/>
    <col min="378" max="378" width="5" bestFit="1" customWidth="1"/>
    <col min="379" max="381" width="6" bestFit="1" customWidth="1"/>
    <col min="382" max="382" width="5" bestFit="1" customWidth="1"/>
    <col min="383" max="383" width="7" bestFit="1" customWidth="1"/>
    <col min="384" max="386" width="6" bestFit="1" customWidth="1"/>
    <col min="387" max="387" width="5" bestFit="1" customWidth="1"/>
    <col min="388" max="393" width="6" bestFit="1" customWidth="1"/>
    <col min="394" max="394" width="5" bestFit="1" customWidth="1"/>
    <col min="395" max="395" width="7" bestFit="1" customWidth="1"/>
    <col min="396" max="404" width="6" bestFit="1" customWidth="1"/>
    <col min="405" max="405" width="5" bestFit="1" customWidth="1"/>
    <col min="406" max="406" width="7" bestFit="1" customWidth="1"/>
    <col min="407" max="407" width="6" bestFit="1" customWidth="1"/>
    <col min="408" max="408" width="5" bestFit="1" customWidth="1"/>
    <col min="409" max="412" width="6" bestFit="1" customWidth="1"/>
    <col min="413" max="413" width="7" bestFit="1" customWidth="1"/>
    <col min="414" max="419" width="6" bestFit="1" customWidth="1"/>
    <col min="420" max="420" width="7" bestFit="1" customWidth="1"/>
    <col min="421" max="421" width="3" bestFit="1" customWidth="1"/>
    <col min="422" max="425" width="6" bestFit="1" customWidth="1"/>
    <col min="426" max="426" width="5" bestFit="1" customWidth="1"/>
    <col min="427" max="429" width="6" bestFit="1" customWidth="1"/>
    <col min="430" max="430" width="7" bestFit="1" customWidth="1"/>
    <col min="431" max="431" width="6" bestFit="1" customWidth="1"/>
    <col min="432" max="432" width="5" bestFit="1" customWidth="1"/>
    <col min="433" max="434" width="6" bestFit="1" customWidth="1"/>
    <col min="435" max="435" width="5" bestFit="1" customWidth="1"/>
    <col min="436" max="436" width="6" bestFit="1" customWidth="1"/>
    <col min="437" max="437" width="7" bestFit="1" customWidth="1"/>
    <col min="438" max="438" width="5" bestFit="1" customWidth="1"/>
    <col min="439" max="445" width="6" bestFit="1" customWidth="1"/>
    <col min="446" max="446" width="7" bestFit="1" customWidth="1"/>
    <col min="447" max="447" width="5" bestFit="1" customWidth="1"/>
    <col min="448" max="452" width="6" bestFit="1" customWidth="1"/>
    <col min="453" max="453" width="5" bestFit="1" customWidth="1"/>
    <col min="454" max="456" width="6" bestFit="1" customWidth="1"/>
    <col min="457" max="457" width="7" bestFit="1" customWidth="1"/>
    <col min="458" max="461" width="6" bestFit="1" customWidth="1"/>
    <col min="462" max="462" width="5" bestFit="1" customWidth="1"/>
    <col min="463" max="466" width="6" bestFit="1" customWidth="1"/>
    <col min="467" max="467" width="5" bestFit="1" customWidth="1"/>
    <col min="468" max="468" width="7" bestFit="1" customWidth="1"/>
    <col min="469" max="473" width="6" bestFit="1" customWidth="1"/>
    <col min="474" max="474" width="7" bestFit="1" customWidth="1"/>
    <col min="475" max="475" width="6" bestFit="1" customWidth="1"/>
    <col min="476" max="476" width="5" bestFit="1" customWidth="1"/>
    <col min="477" max="481" width="6" bestFit="1" customWidth="1"/>
    <col min="482" max="482" width="7" bestFit="1" customWidth="1"/>
    <col min="483" max="486" width="6" bestFit="1" customWidth="1"/>
    <col min="487" max="487" width="5" bestFit="1" customWidth="1"/>
    <col min="488" max="489" width="6" bestFit="1" customWidth="1"/>
    <col min="490" max="490" width="7" bestFit="1" customWidth="1"/>
    <col min="491" max="491" width="6" bestFit="1" customWidth="1"/>
    <col min="492" max="492" width="5" bestFit="1" customWidth="1"/>
    <col min="493" max="495" width="6" bestFit="1" customWidth="1"/>
    <col min="496" max="496" width="7" bestFit="1" customWidth="1"/>
    <col min="497" max="497" width="5" bestFit="1" customWidth="1"/>
    <col min="498" max="502" width="6" bestFit="1" customWidth="1"/>
    <col min="503" max="503" width="5" bestFit="1" customWidth="1"/>
    <col min="504" max="504" width="6" bestFit="1" customWidth="1"/>
    <col min="505" max="505" width="7" bestFit="1" customWidth="1"/>
    <col min="506" max="506" width="5" bestFit="1" customWidth="1"/>
    <col min="507" max="508" width="6" bestFit="1" customWidth="1"/>
    <col min="509" max="509" width="3" bestFit="1" customWidth="1"/>
    <col min="510" max="511" width="6" bestFit="1" customWidth="1"/>
    <col min="512" max="512" width="7" bestFit="1" customWidth="1"/>
    <col min="513" max="513" width="5" bestFit="1" customWidth="1"/>
    <col min="514" max="517" width="6" bestFit="1" customWidth="1"/>
    <col min="518" max="518" width="5" bestFit="1" customWidth="1"/>
    <col min="519" max="519" width="7" bestFit="1" customWidth="1"/>
    <col min="520" max="521" width="6" bestFit="1" customWidth="1"/>
    <col min="522" max="522" width="5" bestFit="1" customWidth="1"/>
    <col min="523" max="525" width="6" bestFit="1" customWidth="1"/>
    <col min="526" max="526" width="5" bestFit="1" customWidth="1"/>
    <col min="527" max="527" width="7" bestFit="1" customWidth="1"/>
    <col min="528" max="528" width="5" bestFit="1" customWidth="1"/>
    <col min="529" max="530" width="6" bestFit="1" customWidth="1"/>
    <col min="531" max="531" width="5" bestFit="1" customWidth="1"/>
    <col min="532" max="532" width="6" bestFit="1" customWidth="1"/>
    <col min="533" max="533" width="7" bestFit="1" customWidth="1"/>
    <col min="534" max="534" width="5" bestFit="1" customWidth="1"/>
    <col min="535" max="538" width="6" bestFit="1" customWidth="1"/>
    <col min="539" max="539" width="5" bestFit="1" customWidth="1"/>
    <col min="540" max="541" width="6" bestFit="1" customWidth="1"/>
    <col min="542" max="542" width="7" bestFit="1" customWidth="1"/>
    <col min="543" max="543" width="5" bestFit="1" customWidth="1"/>
    <col min="544" max="547" width="6" bestFit="1" customWidth="1"/>
    <col min="548" max="548" width="3" bestFit="1" customWidth="1"/>
    <col min="549" max="549" width="7" bestFit="1" customWidth="1"/>
    <col min="550" max="552" width="6" bestFit="1" customWidth="1"/>
    <col min="553" max="553" width="5" bestFit="1" customWidth="1"/>
    <col min="554" max="555" width="6" bestFit="1" customWidth="1"/>
    <col min="556" max="556" width="5" bestFit="1" customWidth="1"/>
    <col min="557" max="557" width="7" bestFit="1" customWidth="1"/>
    <col min="558" max="560" width="6" bestFit="1" customWidth="1"/>
    <col min="561" max="561" width="5" bestFit="1" customWidth="1"/>
    <col min="562" max="564" width="6" bestFit="1" customWidth="1"/>
    <col min="565" max="565" width="5" bestFit="1" customWidth="1"/>
    <col min="566" max="566" width="7" bestFit="1" customWidth="1"/>
    <col min="567" max="569" width="6" bestFit="1" customWidth="1"/>
    <col min="570" max="570" width="5" bestFit="1" customWidth="1"/>
    <col min="571" max="572" width="6" bestFit="1" customWidth="1"/>
    <col min="573" max="573" width="7" bestFit="1" customWidth="1"/>
    <col min="574" max="574" width="5" bestFit="1" customWidth="1"/>
    <col min="575" max="576" width="6" bestFit="1" customWidth="1"/>
    <col min="577" max="577" width="5" bestFit="1" customWidth="1"/>
    <col min="578" max="580" width="6" bestFit="1" customWidth="1"/>
    <col min="581" max="581" width="7" bestFit="1" customWidth="1"/>
    <col min="582" max="582" width="5" bestFit="1" customWidth="1"/>
    <col min="583" max="585" width="6" bestFit="1" customWidth="1"/>
    <col min="586" max="586" width="5" bestFit="1" customWidth="1"/>
    <col min="587" max="587" width="6" bestFit="1" customWidth="1"/>
    <col min="588" max="588" width="7" bestFit="1" customWidth="1"/>
    <col min="589" max="589" width="6" bestFit="1" customWidth="1"/>
    <col min="590" max="590" width="3" bestFit="1" customWidth="1"/>
    <col min="591" max="593" width="6" bestFit="1" customWidth="1"/>
    <col min="594" max="594" width="5" bestFit="1" customWidth="1"/>
    <col min="595" max="595" width="6" bestFit="1" customWidth="1"/>
    <col min="596" max="596" width="7" bestFit="1" customWidth="1"/>
    <col min="597" max="597" width="6" bestFit="1" customWidth="1"/>
    <col min="598" max="598" width="5" bestFit="1" customWidth="1"/>
    <col min="599" max="600" width="6" bestFit="1" customWidth="1"/>
    <col min="601" max="601" width="5" bestFit="1" customWidth="1"/>
    <col min="602" max="602" width="6" bestFit="1" customWidth="1"/>
    <col min="603" max="603" width="7" bestFit="1" customWidth="1"/>
    <col min="604" max="605" width="6" bestFit="1" customWidth="1"/>
    <col min="606" max="606" width="5" bestFit="1" customWidth="1"/>
    <col min="607" max="609" width="6" bestFit="1" customWidth="1"/>
    <col min="610" max="610" width="5" bestFit="1" customWidth="1"/>
    <col min="611" max="611" width="6" bestFit="1" customWidth="1"/>
    <col min="612" max="612" width="7" bestFit="1" customWidth="1"/>
    <col min="613" max="614" width="6" bestFit="1" customWidth="1"/>
    <col min="615" max="615" width="5" bestFit="1" customWidth="1"/>
    <col min="616" max="617" width="6" bestFit="1" customWidth="1"/>
    <col min="618" max="618" width="5" bestFit="1" customWidth="1"/>
    <col min="619" max="619" width="6" bestFit="1" customWidth="1"/>
    <col min="620" max="620" width="7" bestFit="1" customWidth="1"/>
    <col min="621" max="623" width="6" bestFit="1" customWidth="1"/>
    <col min="624" max="624" width="5" bestFit="1" customWidth="1"/>
    <col min="625" max="626" width="6" bestFit="1" customWidth="1"/>
    <col min="627" max="627" width="5" bestFit="1" customWidth="1"/>
    <col min="628" max="629" width="6" bestFit="1" customWidth="1"/>
    <col min="630" max="630" width="7" bestFit="1" customWidth="1"/>
    <col min="631" max="633" width="6" bestFit="1" customWidth="1"/>
    <col min="634" max="634" width="3" bestFit="1" customWidth="1"/>
    <col min="635" max="636" width="6" bestFit="1" customWidth="1"/>
    <col min="637" max="637" width="5" bestFit="1" customWidth="1"/>
    <col min="638" max="638" width="6" bestFit="1" customWidth="1"/>
    <col min="639" max="639" width="7" bestFit="1" customWidth="1"/>
    <col min="640" max="643" width="6" bestFit="1" customWidth="1"/>
    <col min="644" max="644" width="5" bestFit="1" customWidth="1"/>
    <col min="645" max="648" width="6" bestFit="1" customWidth="1"/>
    <col min="649" max="649" width="5" bestFit="1" customWidth="1"/>
    <col min="650" max="650" width="7" bestFit="1" customWidth="1"/>
    <col min="651" max="651" width="6" bestFit="1" customWidth="1"/>
    <col min="652" max="652" width="5" bestFit="1" customWidth="1"/>
    <col min="653" max="654" width="6" bestFit="1" customWidth="1"/>
    <col min="655" max="655" width="7" bestFit="1" customWidth="1"/>
    <col min="656" max="656" width="5" bestFit="1" customWidth="1"/>
    <col min="657" max="661" width="6" bestFit="1" customWidth="1"/>
    <col min="662" max="662" width="5" bestFit="1" customWidth="1"/>
    <col min="663" max="664" width="6" bestFit="1" customWidth="1"/>
    <col min="665" max="665" width="7" bestFit="1" customWidth="1"/>
    <col min="666" max="666" width="6" bestFit="1" customWidth="1"/>
    <col min="667" max="667" width="5" bestFit="1" customWidth="1"/>
    <col min="668" max="670" width="6" bestFit="1" customWidth="1"/>
    <col min="671" max="671" width="5" bestFit="1" customWidth="1"/>
    <col min="672" max="673" width="6" bestFit="1" customWidth="1"/>
    <col min="674" max="674" width="7" bestFit="1" customWidth="1"/>
    <col min="675" max="675" width="6" bestFit="1" customWidth="1"/>
    <col min="676" max="676" width="5" bestFit="1" customWidth="1"/>
    <col min="677" max="678" width="6" bestFit="1" customWidth="1"/>
    <col min="679" max="679" width="3" bestFit="1" customWidth="1"/>
    <col min="680" max="680" width="6" bestFit="1" customWidth="1"/>
    <col min="681" max="681" width="7" bestFit="1" customWidth="1"/>
    <col min="682" max="682" width="6" bestFit="1" customWidth="1"/>
    <col min="683" max="683" width="5" bestFit="1" customWidth="1"/>
    <col min="684" max="687" width="6" bestFit="1" customWidth="1"/>
    <col min="688" max="688" width="5" bestFit="1" customWidth="1"/>
    <col min="689" max="690" width="6" bestFit="1" customWidth="1"/>
    <col min="691" max="691" width="7" bestFit="1" customWidth="1"/>
    <col min="692" max="694" width="6" bestFit="1" customWidth="1"/>
    <col min="695" max="695" width="5" bestFit="1" customWidth="1"/>
    <col min="696" max="698" width="6" bestFit="1" customWidth="1"/>
    <col min="699" max="699" width="5" bestFit="1" customWidth="1"/>
    <col min="700" max="700" width="7" bestFit="1" customWidth="1"/>
    <col min="701" max="701" width="6" bestFit="1" customWidth="1"/>
    <col min="702" max="702" width="5" bestFit="1" customWidth="1"/>
    <col min="703" max="706" width="6" bestFit="1" customWidth="1"/>
    <col min="707" max="707" width="5" bestFit="1" customWidth="1"/>
    <col min="708" max="708" width="7" bestFit="1" customWidth="1"/>
    <col min="709" max="715" width="6" bestFit="1" customWidth="1"/>
    <col min="716" max="716" width="5" bestFit="1" customWidth="1"/>
    <col min="717" max="717" width="7" bestFit="1" customWidth="1"/>
    <col min="718" max="718" width="6" bestFit="1" customWidth="1"/>
    <col min="719" max="719" width="5" bestFit="1" customWidth="1"/>
    <col min="720" max="723" width="6" bestFit="1" customWidth="1"/>
    <col min="724" max="724" width="3" bestFit="1" customWidth="1"/>
    <col min="725" max="725" width="6" bestFit="1" customWidth="1"/>
    <col min="726" max="726" width="7" bestFit="1" customWidth="1"/>
    <col min="727" max="728" width="6" bestFit="1" customWidth="1"/>
    <col min="729" max="729" width="5" bestFit="1" customWidth="1"/>
    <col min="730" max="733" width="6" bestFit="1" customWidth="1"/>
    <col min="734" max="734" width="5" bestFit="1" customWidth="1"/>
    <col min="735" max="735" width="7" bestFit="1" customWidth="1"/>
    <col min="736" max="737" width="6" bestFit="1" customWidth="1"/>
    <col min="738" max="738" width="5" bestFit="1" customWidth="1"/>
    <col min="739" max="739" width="6" bestFit="1" customWidth="1"/>
    <col min="740" max="740" width="7" bestFit="1" customWidth="1"/>
    <col min="741" max="741" width="5" bestFit="1" customWidth="1"/>
    <col min="742" max="743" width="6" bestFit="1" customWidth="1"/>
    <col min="744" max="744" width="5" bestFit="1" customWidth="1"/>
    <col min="745" max="747" width="6" bestFit="1" customWidth="1"/>
    <col min="748" max="748" width="7" bestFit="1" customWidth="1"/>
    <col min="749" max="749" width="5" bestFit="1" customWidth="1"/>
    <col min="750" max="753" width="6" bestFit="1" customWidth="1"/>
    <col min="754" max="754" width="5" bestFit="1" customWidth="1"/>
    <col min="755" max="756" width="6" bestFit="1" customWidth="1"/>
    <col min="757" max="757" width="7" bestFit="1" customWidth="1"/>
    <col min="758" max="758" width="6" bestFit="1" customWidth="1"/>
    <col min="759" max="759" width="5" bestFit="1" customWidth="1"/>
    <col min="760" max="760" width="6" bestFit="1" customWidth="1"/>
    <col min="761" max="761" width="5" bestFit="1" customWidth="1"/>
    <col min="762" max="762" width="7" bestFit="1" customWidth="1"/>
    <col min="763" max="763" width="3" bestFit="1" customWidth="1"/>
    <col min="764" max="766" width="6" bestFit="1" customWidth="1"/>
    <col min="767" max="767" width="5" bestFit="1" customWidth="1"/>
    <col min="768" max="769" width="6" bestFit="1" customWidth="1"/>
    <col min="770" max="770" width="7" bestFit="1" customWidth="1"/>
    <col min="771" max="771" width="6" bestFit="1" customWidth="1"/>
    <col min="772" max="772" width="5" bestFit="1" customWidth="1"/>
    <col min="773" max="774" width="6" bestFit="1" customWidth="1"/>
    <col min="775" max="775" width="5" bestFit="1" customWidth="1"/>
    <col min="776" max="777" width="6" bestFit="1" customWidth="1"/>
    <col min="778" max="778" width="7" bestFit="1" customWidth="1"/>
    <col min="779" max="779" width="6" bestFit="1" customWidth="1"/>
    <col min="780" max="780" width="5" bestFit="1" customWidth="1"/>
    <col min="781" max="783" width="6" bestFit="1" customWidth="1"/>
    <col min="784" max="784" width="5" bestFit="1" customWidth="1"/>
    <col min="785" max="785" width="7" bestFit="1" customWidth="1"/>
    <col min="786" max="788" width="6" bestFit="1" customWidth="1"/>
    <col min="789" max="789" width="5" bestFit="1" customWidth="1"/>
    <col min="790" max="792" width="6" bestFit="1" customWidth="1"/>
    <col min="793" max="793" width="5" bestFit="1" customWidth="1"/>
    <col min="794" max="795" width="6" bestFit="1" customWidth="1"/>
    <col min="796" max="796" width="7" bestFit="1" customWidth="1"/>
    <col min="797" max="797" width="6" bestFit="1" customWidth="1"/>
    <col min="798" max="798" width="5" bestFit="1" customWidth="1"/>
    <col min="799" max="801" width="6" bestFit="1" customWidth="1"/>
    <col min="802" max="802" width="7" bestFit="1" customWidth="1"/>
    <col min="803" max="809" width="6" bestFit="1" customWidth="1"/>
    <col min="810" max="810" width="5" bestFit="1" customWidth="1"/>
    <col min="811" max="811" width="7" bestFit="1" customWidth="1"/>
    <col min="812" max="814" width="6" bestFit="1" customWidth="1"/>
    <col min="815" max="815" width="5" bestFit="1" customWidth="1"/>
    <col min="816" max="816" width="6" bestFit="1" customWidth="1"/>
    <col min="817" max="817" width="7" bestFit="1" customWidth="1"/>
    <col min="818" max="818" width="5" bestFit="1" customWidth="1"/>
    <col min="819" max="820" width="6" bestFit="1" customWidth="1"/>
    <col min="821" max="821" width="5" bestFit="1" customWidth="1"/>
    <col min="822" max="826" width="6" bestFit="1" customWidth="1"/>
    <col min="827" max="827" width="7" bestFit="1" customWidth="1"/>
    <col min="828" max="828" width="5" bestFit="1" customWidth="1"/>
    <col min="829" max="831" width="6" bestFit="1" customWidth="1"/>
    <col min="832" max="832" width="5" bestFit="1" customWidth="1"/>
    <col min="833" max="834" width="6" bestFit="1" customWidth="1"/>
    <col min="835" max="835" width="7" bestFit="1" customWidth="1"/>
    <col min="836" max="836" width="6" bestFit="1" customWidth="1"/>
    <col min="837" max="837" width="5" bestFit="1" customWidth="1"/>
    <col min="838" max="839" width="6" bestFit="1" customWidth="1"/>
    <col min="840" max="840" width="5" bestFit="1" customWidth="1"/>
    <col min="841" max="844" width="6" bestFit="1" customWidth="1"/>
    <col min="845" max="845" width="7" bestFit="1" customWidth="1"/>
    <col min="846" max="846" width="6" bestFit="1" customWidth="1"/>
    <col min="847" max="847" width="5" bestFit="1" customWidth="1"/>
    <col min="848" max="849" width="6" bestFit="1" customWidth="1"/>
    <col min="850" max="850" width="3" bestFit="1" customWidth="1"/>
    <col min="851" max="852" width="6" bestFit="1" customWidth="1"/>
    <col min="853" max="853" width="5" bestFit="1" customWidth="1"/>
    <col min="854" max="854" width="6" bestFit="1" customWidth="1"/>
    <col min="855" max="855" width="5" bestFit="1" customWidth="1"/>
    <col min="856" max="856" width="7" bestFit="1" customWidth="1"/>
    <col min="857" max="858" width="6" bestFit="1" customWidth="1"/>
    <col min="859" max="859" width="5" bestFit="1" customWidth="1"/>
    <col min="860" max="862" width="6" bestFit="1" customWidth="1"/>
    <col min="863" max="863" width="5" bestFit="1" customWidth="1"/>
    <col min="864" max="866" width="6" bestFit="1" customWidth="1"/>
    <col min="867" max="867" width="7" bestFit="1" customWidth="1"/>
    <col min="868" max="868" width="6" bestFit="1" customWidth="1"/>
    <col min="869" max="869" width="5" bestFit="1" customWidth="1"/>
    <col min="870" max="873" width="6" bestFit="1" customWidth="1"/>
    <col min="874" max="874" width="5" bestFit="1" customWidth="1"/>
    <col min="875" max="876" width="6" bestFit="1" customWidth="1"/>
    <col min="877" max="877" width="7" bestFit="1" customWidth="1"/>
    <col min="878" max="879" width="6" bestFit="1" customWidth="1"/>
    <col min="880" max="880" width="5" bestFit="1" customWidth="1"/>
    <col min="881" max="884" width="6" bestFit="1" customWidth="1"/>
    <col min="885" max="885" width="5" bestFit="1" customWidth="1"/>
    <col min="886" max="886" width="7" bestFit="1" customWidth="1"/>
    <col min="887" max="888" width="6" bestFit="1" customWidth="1"/>
    <col min="889" max="889" width="5" bestFit="1" customWidth="1"/>
    <col min="890" max="893" width="6" bestFit="1" customWidth="1"/>
    <col min="894" max="894" width="3" bestFit="1" customWidth="1"/>
    <col min="895" max="895" width="7" bestFit="1" customWidth="1"/>
    <col min="896" max="897" width="6" bestFit="1" customWidth="1"/>
    <col min="898" max="898" width="5" bestFit="1" customWidth="1"/>
    <col min="899" max="903" width="6" bestFit="1" customWidth="1"/>
    <col min="904" max="904" width="7" bestFit="1" customWidth="1"/>
    <col min="905" max="905" width="5" bestFit="1" customWidth="1"/>
    <col min="906" max="907" width="6" bestFit="1" customWidth="1"/>
    <col min="908" max="908" width="5" bestFit="1" customWidth="1"/>
    <col min="909" max="909" width="6" bestFit="1" customWidth="1"/>
    <col min="910" max="910" width="7" bestFit="1" customWidth="1"/>
    <col min="911" max="911" width="5" bestFit="1" customWidth="1"/>
    <col min="912" max="916" width="6" bestFit="1" customWidth="1"/>
    <col min="917" max="917" width="7" bestFit="1" customWidth="1"/>
    <col min="918" max="918" width="5" bestFit="1" customWidth="1"/>
    <col min="919" max="923" width="6" bestFit="1" customWidth="1"/>
    <col min="924" max="924" width="5" bestFit="1" customWidth="1"/>
    <col min="925" max="925" width="6" bestFit="1" customWidth="1"/>
    <col min="926" max="926" width="7" bestFit="1" customWidth="1"/>
    <col min="927" max="927" width="5" bestFit="1" customWidth="1"/>
    <col min="928" max="930" width="6" bestFit="1" customWidth="1"/>
    <col min="931" max="931" width="7" bestFit="1" customWidth="1"/>
    <col min="932" max="934" width="6" bestFit="1" customWidth="1"/>
    <col min="935" max="935" width="3" bestFit="1" customWidth="1"/>
    <col min="936" max="937" width="6" bestFit="1" customWidth="1"/>
    <col min="938" max="938" width="5" bestFit="1" customWidth="1"/>
    <col min="939" max="939" width="6" bestFit="1" customWidth="1"/>
    <col min="940" max="940" width="7" bestFit="1" customWidth="1"/>
    <col min="941" max="941" width="6" bestFit="1" customWidth="1"/>
    <col min="942" max="942" width="5" bestFit="1" customWidth="1"/>
    <col min="943" max="946" width="6" bestFit="1" customWidth="1"/>
    <col min="947" max="947" width="5" bestFit="1" customWidth="1"/>
    <col min="948" max="948" width="7" bestFit="1" customWidth="1"/>
    <col min="949" max="949" width="6" bestFit="1" customWidth="1"/>
    <col min="950" max="950" width="5" bestFit="1" customWidth="1"/>
    <col min="951" max="953" width="6" bestFit="1" customWidth="1"/>
    <col min="954" max="954" width="7" bestFit="1" customWidth="1"/>
    <col min="955" max="958" width="6" bestFit="1" customWidth="1"/>
    <col min="959" max="959" width="5" bestFit="1" customWidth="1"/>
    <col min="960" max="960" width="7" bestFit="1" customWidth="1"/>
    <col min="961" max="963" width="6" bestFit="1" customWidth="1"/>
    <col min="964" max="964" width="5" bestFit="1" customWidth="1"/>
    <col min="965" max="967" width="6" bestFit="1" customWidth="1"/>
    <col min="968" max="968" width="5" bestFit="1" customWidth="1"/>
    <col min="969" max="969" width="7" bestFit="1" customWidth="1"/>
    <col min="970" max="971" width="6" bestFit="1" customWidth="1"/>
    <col min="972" max="972" width="3" bestFit="1" customWidth="1"/>
    <col min="973" max="975" width="6" bestFit="1" customWidth="1"/>
    <col min="976" max="976" width="7" bestFit="1" customWidth="1"/>
    <col min="977" max="981" width="6" bestFit="1" customWidth="1"/>
    <col min="982" max="982" width="7" bestFit="1" customWidth="1"/>
    <col min="983" max="983" width="5" bestFit="1" customWidth="1"/>
    <col min="984" max="988" width="6" bestFit="1" customWidth="1"/>
    <col min="989" max="989" width="5" bestFit="1" customWidth="1"/>
    <col min="990" max="990" width="7" bestFit="1" customWidth="1"/>
    <col min="991" max="996" width="6" bestFit="1" customWidth="1"/>
    <col min="997" max="997" width="5" bestFit="1" customWidth="1"/>
    <col min="998" max="1002" width="6" bestFit="1" customWidth="1"/>
    <col min="1003" max="1003" width="3" bestFit="1" customWidth="1"/>
    <col min="1004" max="1006" width="6" bestFit="1" customWidth="1"/>
    <col min="1007" max="1007" width="5" bestFit="1" customWidth="1"/>
    <col min="1008" max="1011" width="6" bestFit="1" customWidth="1"/>
    <col min="1012" max="1012" width="5" bestFit="1" customWidth="1"/>
    <col min="1013" max="1021" width="6" bestFit="1" customWidth="1"/>
    <col min="1022" max="1022" width="5" bestFit="1" customWidth="1"/>
    <col min="1023" max="1023" width="6" bestFit="1" customWidth="1"/>
    <col min="1024" max="1024" width="7" bestFit="1" customWidth="1"/>
    <col min="1025" max="1026" width="6" bestFit="1" customWidth="1"/>
    <col min="1027" max="1027" width="5" bestFit="1" customWidth="1"/>
    <col min="1028" max="1029" width="6" bestFit="1" customWidth="1"/>
    <col min="1030" max="1030" width="5" bestFit="1" customWidth="1"/>
    <col min="1031" max="1031" width="7" bestFit="1" customWidth="1"/>
    <col min="1032" max="1033" width="6" bestFit="1" customWidth="1"/>
    <col min="1034" max="1034" width="5" bestFit="1" customWidth="1"/>
    <col min="1035" max="1038" width="6" bestFit="1" customWidth="1"/>
    <col min="1039" max="1039" width="5" bestFit="1" customWidth="1"/>
    <col min="1040" max="1040" width="7" bestFit="1" customWidth="1"/>
    <col min="1041" max="1043" width="6" bestFit="1" customWidth="1"/>
    <col min="1044" max="1044" width="5" bestFit="1" customWidth="1"/>
    <col min="1045" max="1048" width="6" bestFit="1" customWidth="1"/>
    <col min="1049" max="1049" width="7" bestFit="1" customWidth="1"/>
    <col min="1050" max="1052" width="6" bestFit="1" customWidth="1"/>
    <col min="1053" max="1053" width="7" bestFit="1" customWidth="1"/>
    <col min="1054" max="1056" width="6" bestFit="1" customWidth="1"/>
    <col min="1057" max="1057" width="5" bestFit="1" customWidth="1"/>
    <col min="1058" max="1059" width="6" bestFit="1" customWidth="1"/>
    <col min="1060" max="1060" width="7" bestFit="1" customWidth="1"/>
    <col min="1061" max="1064" width="6" bestFit="1" customWidth="1"/>
    <col min="1065" max="1065" width="5" bestFit="1" customWidth="1"/>
    <col min="1066" max="1066" width="7" bestFit="1" customWidth="1"/>
    <col min="1067" max="1069" width="6" bestFit="1" customWidth="1"/>
    <col min="1070" max="1070" width="5" bestFit="1" customWidth="1"/>
    <col min="1071" max="1075" width="6" bestFit="1" customWidth="1"/>
    <col min="1076" max="1076" width="7" bestFit="1" customWidth="1"/>
    <col min="1077" max="1078" width="6" bestFit="1" customWidth="1"/>
    <col min="1079" max="1079" width="5" bestFit="1" customWidth="1"/>
    <col min="1080" max="1082" width="6" bestFit="1" customWidth="1"/>
    <col min="1083" max="1083" width="5" bestFit="1" customWidth="1"/>
    <col min="1084" max="1086" width="6" bestFit="1" customWidth="1"/>
    <col min="1087" max="1087" width="5" bestFit="1" customWidth="1"/>
    <col min="1088" max="1088" width="7" bestFit="1" customWidth="1"/>
    <col min="1089" max="1100" width="6" bestFit="1" customWidth="1"/>
    <col min="1101" max="1101" width="5" bestFit="1" customWidth="1"/>
    <col min="1102" max="1102" width="7" bestFit="1" customWidth="1"/>
    <col min="1103" max="1103" width="5" bestFit="1" customWidth="1"/>
    <col min="1104" max="1110" width="6" bestFit="1" customWidth="1"/>
    <col min="1111" max="1111" width="5" bestFit="1" customWidth="1"/>
    <col min="1112" max="1112" width="6" bestFit="1" customWidth="1"/>
    <col min="1113" max="1113" width="5" bestFit="1" customWidth="1"/>
    <col min="1114" max="1115" width="6" bestFit="1" customWidth="1"/>
    <col min="1116" max="1116" width="7" bestFit="1" customWidth="1"/>
    <col min="1117" max="1129" width="6" bestFit="1" customWidth="1"/>
    <col min="1130" max="1130" width="5" bestFit="1" customWidth="1"/>
    <col min="1131" max="1146" width="6" bestFit="1" customWidth="1"/>
    <col min="1147" max="1147" width="5" bestFit="1" customWidth="1"/>
    <col min="1148" max="1149" width="6" bestFit="1" customWidth="1"/>
    <col min="1150" max="1150" width="5" bestFit="1" customWidth="1"/>
    <col min="1151" max="1152" width="6" bestFit="1" customWidth="1"/>
    <col min="1153" max="1153" width="5" bestFit="1" customWidth="1"/>
    <col min="1154" max="1158" width="6" bestFit="1" customWidth="1"/>
    <col min="1159" max="1159" width="3" bestFit="1" customWidth="1"/>
    <col min="1160" max="1160" width="6" bestFit="1" customWidth="1"/>
    <col min="1161" max="1161" width="5" bestFit="1" customWidth="1"/>
    <col min="1162" max="1162" width="6" bestFit="1" customWidth="1"/>
    <col min="1163" max="1163" width="5" bestFit="1" customWidth="1"/>
    <col min="1164" max="1172" width="6" bestFit="1" customWidth="1"/>
    <col min="1173" max="1173" width="5" bestFit="1" customWidth="1"/>
    <col min="1174" max="1174" width="7" bestFit="1" customWidth="1"/>
    <col min="1175" max="1180" width="6" bestFit="1" customWidth="1"/>
    <col min="1181" max="1181" width="3" bestFit="1" customWidth="1"/>
    <col min="1182" max="1187" width="6" bestFit="1" customWidth="1"/>
    <col min="1188" max="1188" width="5" bestFit="1" customWidth="1"/>
    <col min="1189" max="1196" width="6" bestFit="1" customWidth="1"/>
    <col min="1197" max="1197" width="5" bestFit="1" customWidth="1"/>
    <col min="1198" max="1198" width="6" bestFit="1" customWidth="1"/>
    <col min="1199" max="1199" width="5" bestFit="1" customWidth="1"/>
    <col min="1200" max="1204" width="6" bestFit="1" customWidth="1"/>
    <col min="1205" max="1205" width="5" bestFit="1" customWidth="1"/>
    <col min="1206" max="1206" width="6" bestFit="1" customWidth="1"/>
    <col min="1207" max="1207" width="5" bestFit="1" customWidth="1"/>
    <col min="1208" max="1216" width="6" bestFit="1" customWidth="1"/>
    <col min="1217" max="1217" width="5" bestFit="1" customWidth="1"/>
    <col min="1218" max="1222" width="6" bestFit="1" customWidth="1"/>
    <col min="1223" max="1223" width="3" bestFit="1" customWidth="1"/>
    <col min="1224" max="1226" width="6" bestFit="1" customWidth="1"/>
    <col min="1227" max="1227" width="5" bestFit="1" customWidth="1"/>
    <col min="1228" max="1232" width="6" bestFit="1" customWidth="1"/>
    <col min="1233" max="1233" width="5" bestFit="1" customWidth="1"/>
    <col min="1234" max="1234" width="6" bestFit="1" customWidth="1"/>
    <col min="1235" max="1235" width="3" bestFit="1" customWidth="1"/>
    <col min="1236" max="1238" width="6" bestFit="1" customWidth="1"/>
    <col min="1239" max="1239" width="5" bestFit="1" customWidth="1"/>
    <col min="1240" max="1244" width="6" bestFit="1" customWidth="1"/>
    <col min="1245" max="1245" width="5" bestFit="1" customWidth="1"/>
    <col min="1246" max="1246" width="6" bestFit="1" customWidth="1"/>
    <col min="1247" max="1247" width="5" bestFit="1" customWidth="1"/>
    <col min="1248" max="1258" width="6" bestFit="1" customWidth="1"/>
    <col min="1259" max="1259" width="5" bestFit="1" customWidth="1"/>
    <col min="1260" max="1268" width="6" bestFit="1" customWidth="1"/>
    <col min="1269" max="1269" width="5" bestFit="1" customWidth="1"/>
    <col min="1270" max="1271" width="6" bestFit="1" customWidth="1"/>
    <col min="1272" max="1272" width="5" bestFit="1" customWidth="1"/>
    <col min="1273" max="1298" width="6" bestFit="1" customWidth="1"/>
    <col min="1299" max="1299" width="5" bestFit="1" customWidth="1"/>
    <col min="1300" max="1307" width="6" bestFit="1" customWidth="1"/>
    <col min="1308" max="1308" width="5" bestFit="1" customWidth="1"/>
    <col min="1309" max="1323" width="6" bestFit="1" customWidth="1"/>
    <col min="1324" max="1324" width="3" bestFit="1" customWidth="1"/>
    <col min="1325" max="1325" width="6" bestFit="1" customWidth="1"/>
    <col min="1326" max="1327" width="5" bestFit="1" customWidth="1"/>
    <col min="1328" max="1337" width="6" bestFit="1" customWidth="1"/>
    <col min="1338" max="1338" width="10.77734375" bestFit="1" customWidth="1"/>
  </cols>
  <sheetData>
    <row r="5" spans="2:13" x14ac:dyDescent="0.3">
      <c r="B5" s="1" t="str">
        <f>B6&amp;" "&amp;B7</f>
        <v>Patients 2335</v>
      </c>
      <c r="C5" s="1" t="str">
        <f>C6&amp;" "&amp;C7</f>
        <v>Cancer Patients 391</v>
      </c>
      <c r="D5" s="1" t="str">
        <f t="shared" ref="D5:K5" si="0">D6&amp;" "&amp;D7</f>
        <v>Smokers 488</v>
      </c>
      <c r="E5" s="1" t="str">
        <f t="shared" si="0"/>
        <v>Avg. BMI 30.9726488222698</v>
      </c>
      <c r="F5" s="1" t="str">
        <f t="shared" si="0"/>
        <v>Avg. HBA1C 6.57899785867238</v>
      </c>
      <c r="G5" s="1" t="str">
        <f t="shared" si="0"/>
        <v>Transplant Patients 144</v>
      </c>
      <c r="H5" s="1" t="str">
        <f t="shared" si="0"/>
        <v>Heart Patients 926</v>
      </c>
      <c r="I5" s="3">
        <f>I7</f>
        <v>0.20899357601713062</v>
      </c>
      <c r="J5" s="3">
        <f>J7</f>
        <v>0.16745182012847964</v>
      </c>
      <c r="K5" s="1" t="str">
        <f t="shared" si="0"/>
        <v>Smoker Cancer 84</v>
      </c>
      <c r="L5" s="3">
        <f>L7</f>
        <v>0.21483375959079284</v>
      </c>
    </row>
    <row r="6" spans="2:13" x14ac:dyDescent="0.3">
      <c r="B6" t="s">
        <v>0</v>
      </c>
      <c r="C6" t="s">
        <v>1</v>
      </c>
      <c r="D6" t="s">
        <v>2</v>
      </c>
      <c r="E6" t="s">
        <v>3</v>
      </c>
      <c r="F6" t="s">
        <v>4</v>
      </c>
      <c r="G6" t="s">
        <v>5</v>
      </c>
      <c r="H6" t="s">
        <v>6</v>
      </c>
      <c r="I6" t="s">
        <v>7</v>
      </c>
      <c r="J6" t="s">
        <v>8</v>
      </c>
      <c r="K6" t="s">
        <v>10</v>
      </c>
      <c r="L6" t="s">
        <v>9</v>
      </c>
      <c r="M6" t="s">
        <v>39</v>
      </c>
    </row>
    <row r="7" spans="2:13" x14ac:dyDescent="0.3">
      <c r="B7" s="1">
        <v>2335</v>
      </c>
      <c r="C7" s="1">
        <v>391</v>
      </c>
      <c r="D7" s="1">
        <v>488</v>
      </c>
      <c r="E7" s="2">
        <v>30.972648822269804</v>
      </c>
      <c r="F7" s="2">
        <v>6.5789978586723761</v>
      </c>
      <c r="G7" s="2">
        <v>144</v>
      </c>
      <c r="H7">
        <v>926</v>
      </c>
      <c r="I7" s="7">
        <v>0.20899357601713062</v>
      </c>
      <c r="J7" s="7">
        <v>0.16745182012847964</v>
      </c>
      <c r="K7">
        <v>84</v>
      </c>
      <c r="L7" s="7">
        <v>0.21483375959079284</v>
      </c>
      <c r="M7" s="14">
        <v>13529.918034261242</v>
      </c>
    </row>
    <row r="8" spans="2:13" x14ac:dyDescent="0.3">
      <c r="I8" s="3">
        <f>D7/B7</f>
        <v>0.20899357601713062</v>
      </c>
      <c r="J8" s="3">
        <f>C7/B7</f>
        <v>0.16745182012847964</v>
      </c>
      <c r="L8" s="3">
        <f>K7/C7</f>
        <v>0.21483375959079284</v>
      </c>
    </row>
    <row r="10" spans="2:13" x14ac:dyDescent="0.3">
      <c r="B10" s="4" t="s">
        <v>15</v>
      </c>
      <c r="C10" t="s">
        <v>18</v>
      </c>
      <c r="I10" s="4" t="s">
        <v>15</v>
      </c>
    </row>
    <row r="11" spans="2:13" x14ac:dyDescent="0.3">
      <c r="B11" s="5" t="s">
        <v>13</v>
      </c>
      <c r="E11" s="3"/>
      <c r="I11" s="8" t="s">
        <v>47</v>
      </c>
    </row>
    <row r="12" spans="2:13" x14ac:dyDescent="0.3">
      <c r="B12" s="6" t="s">
        <v>17</v>
      </c>
      <c r="C12">
        <v>307</v>
      </c>
      <c r="I12" s="5" t="s">
        <v>16</v>
      </c>
    </row>
    <row r="13" spans="2:13" x14ac:dyDescent="0.3">
      <c r="B13" s="6" t="s">
        <v>12</v>
      </c>
      <c r="C13">
        <v>1540</v>
      </c>
    </row>
    <row r="14" spans="2:13" x14ac:dyDescent="0.3">
      <c r="B14" s="5" t="s">
        <v>14</v>
      </c>
    </row>
    <row r="15" spans="2:13" x14ac:dyDescent="0.3">
      <c r="B15" s="6" t="s">
        <v>17</v>
      </c>
      <c r="C15">
        <v>84</v>
      </c>
    </row>
    <row r="16" spans="2:13" x14ac:dyDescent="0.3">
      <c r="B16" s="6" t="s">
        <v>12</v>
      </c>
      <c r="C16">
        <v>404</v>
      </c>
    </row>
    <row r="17" spans="2:8" x14ac:dyDescent="0.3">
      <c r="B17" s="5" t="s">
        <v>16</v>
      </c>
      <c r="C17">
        <v>2335</v>
      </c>
    </row>
    <row r="19" spans="2:8" x14ac:dyDescent="0.3">
      <c r="B19" s="4" t="s">
        <v>40</v>
      </c>
      <c r="C19" s="4" t="s">
        <v>20</v>
      </c>
    </row>
    <row r="20" spans="2:8" x14ac:dyDescent="0.3">
      <c r="B20" s="4" t="s">
        <v>15</v>
      </c>
      <c r="C20" t="s">
        <v>17</v>
      </c>
      <c r="D20" t="s">
        <v>12</v>
      </c>
      <c r="E20" t="s">
        <v>16</v>
      </c>
    </row>
    <row r="21" spans="2:8" x14ac:dyDescent="0.3">
      <c r="B21" s="5" t="s">
        <v>13</v>
      </c>
      <c r="C21" s="2">
        <v>307</v>
      </c>
      <c r="D21" s="2">
        <v>1540</v>
      </c>
      <c r="E21" s="2">
        <v>1847</v>
      </c>
    </row>
    <row r="22" spans="2:8" x14ac:dyDescent="0.3">
      <c r="B22" s="5" t="s">
        <v>14</v>
      </c>
      <c r="C22" s="2">
        <v>84</v>
      </c>
      <c r="D22" s="2">
        <v>404</v>
      </c>
      <c r="E22" s="2">
        <v>488</v>
      </c>
    </row>
    <row r="23" spans="2:8" x14ac:dyDescent="0.3">
      <c r="B23" s="5" t="s">
        <v>16</v>
      </c>
      <c r="C23" s="2">
        <v>391</v>
      </c>
      <c r="D23" s="2">
        <v>1944</v>
      </c>
      <c r="E23" s="2">
        <v>2335</v>
      </c>
    </row>
    <row r="24" spans="2:8" x14ac:dyDescent="0.3">
      <c r="B24" s="5"/>
      <c r="C24" s="2"/>
      <c r="D24" s="2"/>
      <c r="E24" s="2"/>
    </row>
    <row r="25" spans="2:8" x14ac:dyDescent="0.3">
      <c r="B25" s="5"/>
      <c r="C25" s="2"/>
      <c r="D25" s="2"/>
      <c r="E25" s="2"/>
    </row>
    <row r="26" spans="2:8" x14ac:dyDescent="0.3">
      <c r="B26" s="5"/>
      <c r="C26" s="2"/>
      <c r="D26" s="2"/>
      <c r="E26" s="2"/>
    </row>
    <row r="27" spans="2:8" x14ac:dyDescent="0.3">
      <c r="B27" s="5"/>
      <c r="C27" s="2"/>
      <c r="D27" s="2"/>
      <c r="E27" s="2"/>
    </row>
    <row r="28" spans="2:8" x14ac:dyDescent="0.3">
      <c r="H28" s="9"/>
    </row>
    <row r="29" spans="2:8" x14ac:dyDescent="0.3">
      <c r="B29" s="4" t="s">
        <v>46</v>
      </c>
      <c r="C29" s="4" t="s">
        <v>20</v>
      </c>
    </row>
    <row r="30" spans="2:8" x14ac:dyDescent="0.3">
      <c r="B30" s="4" t="s">
        <v>15</v>
      </c>
      <c r="C30">
        <v>1</v>
      </c>
      <c r="D30">
        <v>2</v>
      </c>
      <c r="E30">
        <v>3</v>
      </c>
      <c r="F30" t="s">
        <v>16</v>
      </c>
    </row>
    <row r="31" spans="2:8" x14ac:dyDescent="0.3">
      <c r="B31" s="5" t="s">
        <v>11</v>
      </c>
      <c r="C31">
        <v>839</v>
      </c>
      <c r="D31">
        <v>256</v>
      </c>
      <c r="E31">
        <v>22</v>
      </c>
      <c r="F31">
        <v>1117</v>
      </c>
    </row>
    <row r="32" spans="2:8" x14ac:dyDescent="0.3">
      <c r="B32" s="5" t="s">
        <v>21</v>
      </c>
      <c r="C32">
        <v>126</v>
      </c>
      <c r="D32">
        <v>18</v>
      </c>
      <c r="F32">
        <v>144</v>
      </c>
    </row>
    <row r="33" spans="2:6" x14ac:dyDescent="0.3">
      <c r="B33" s="5" t="s">
        <v>16</v>
      </c>
      <c r="C33" s="2">
        <v>965</v>
      </c>
      <c r="D33" s="2">
        <v>274</v>
      </c>
      <c r="E33" s="2">
        <v>22</v>
      </c>
      <c r="F33" s="2">
        <v>1261</v>
      </c>
    </row>
    <row r="37" spans="2:6" x14ac:dyDescent="0.3">
      <c r="B37" s="4" t="s">
        <v>19</v>
      </c>
      <c r="C37" s="4" t="s">
        <v>20</v>
      </c>
    </row>
    <row r="38" spans="2:6" x14ac:dyDescent="0.3">
      <c r="B38" s="4" t="s">
        <v>15</v>
      </c>
      <c r="C38" t="s">
        <v>30</v>
      </c>
      <c r="D38" t="s">
        <v>31</v>
      </c>
      <c r="E38" t="s">
        <v>32</v>
      </c>
      <c r="F38" t="s">
        <v>16</v>
      </c>
    </row>
    <row r="39" spans="2:6" x14ac:dyDescent="0.3">
      <c r="B39" s="5" t="s">
        <v>30</v>
      </c>
      <c r="C39" s="2">
        <v>29519.600813953486</v>
      </c>
      <c r="D39" s="2">
        <v>11508.06707920792</v>
      </c>
      <c r="E39" s="2">
        <v>9775.3897933884309</v>
      </c>
      <c r="F39" s="2">
        <v>13051.351229508196</v>
      </c>
    </row>
    <row r="40" spans="2:6" x14ac:dyDescent="0.3">
      <c r="B40" s="5" t="s">
        <v>31</v>
      </c>
      <c r="C40" s="2">
        <v>28788.457476635514</v>
      </c>
      <c r="D40" s="2">
        <v>11973.655344467641</v>
      </c>
      <c r="E40" s="2">
        <v>9245.2523766816139</v>
      </c>
      <c r="F40" s="2">
        <v>13445.534165636589</v>
      </c>
    </row>
    <row r="41" spans="2:6" x14ac:dyDescent="0.3">
      <c r="B41" s="5" t="s">
        <v>32</v>
      </c>
      <c r="C41" s="2">
        <v>31893.925675675677</v>
      </c>
      <c r="D41" s="2">
        <v>12068.328791208791</v>
      </c>
      <c r="E41" s="2">
        <v>9342.1799122807024</v>
      </c>
      <c r="F41" s="2">
        <v>14057.093664987404</v>
      </c>
    </row>
    <row r="42" spans="2:6" x14ac:dyDescent="0.3">
      <c r="B42" s="5" t="s">
        <v>16</v>
      </c>
      <c r="C42" s="2">
        <v>30129.198585526312</v>
      </c>
      <c r="D42" s="2">
        <v>11865.268766816143</v>
      </c>
      <c r="E42" s="2">
        <v>9462.2693073593073</v>
      </c>
      <c r="F42" s="2">
        <v>13529.918034261242</v>
      </c>
    </row>
    <row r="48" spans="2:6" x14ac:dyDescent="0.3">
      <c r="B48" s="4" t="s">
        <v>40</v>
      </c>
      <c r="C48" s="4" t="s">
        <v>20</v>
      </c>
    </row>
    <row r="49" spans="2:13" x14ac:dyDescent="0.3">
      <c r="B49" s="4" t="s">
        <v>15</v>
      </c>
      <c r="C49">
        <v>0</v>
      </c>
      <c r="D49">
        <v>1</v>
      </c>
      <c r="E49">
        <v>2</v>
      </c>
      <c r="F49">
        <v>3</v>
      </c>
      <c r="G49" t="s">
        <v>16</v>
      </c>
      <c r="I49" t="s">
        <v>43</v>
      </c>
      <c r="J49">
        <v>0</v>
      </c>
      <c r="K49">
        <v>1</v>
      </c>
      <c r="L49">
        <v>2</v>
      </c>
      <c r="M49">
        <v>3</v>
      </c>
    </row>
    <row r="50" spans="2:13" x14ac:dyDescent="0.3">
      <c r="B50" s="5" t="s">
        <v>41</v>
      </c>
      <c r="C50" s="2">
        <v>295</v>
      </c>
      <c r="D50" s="2">
        <v>466</v>
      </c>
      <c r="E50" s="2">
        <v>165</v>
      </c>
      <c r="F50" s="2"/>
      <c r="G50" s="2">
        <v>926</v>
      </c>
      <c r="I50" t="str">
        <f>B50</f>
        <v>Have Issues</v>
      </c>
      <c r="J50" s="2">
        <f>C50</f>
        <v>295</v>
      </c>
      <c r="K50" s="2">
        <f t="shared" ref="K50:M50" si="1">D50</f>
        <v>466</v>
      </c>
      <c r="L50" s="2">
        <f t="shared" si="1"/>
        <v>165</v>
      </c>
      <c r="M50" s="2">
        <f t="shared" si="1"/>
        <v>0</v>
      </c>
    </row>
    <row r="51" spans="2:13" x14ac:dyDescent="0.3">
      <c r="B51" s="5" t="s">
        <v>42</v>
      </c>
      <c r="C51" s="2">
        <v>779</v>
      </c>
      <c r="D51" s="2">
        <v>499</v>
      </c>
      <c r="E51" s="2">
        <v>109</v>
      </c>
      <c r="F51" s="2">
        <v>22</v>
      </c>
      <c r="G51" s="2">
        <v>1409</v>
      </c>
      <c r="I51" t="str">
        <f>B51</f>
        <v>No Issues</v>
      </c>
      <c r="J51" s="2">
        <f>C51</f>
        <v>779</v>
      </c>
      <c r="K51" s="2">
        <f t="shared" ref="K51" si="2">D51</f>
        <v>499</v>
      </c>
      <c r="L51" s="2">
        <f t="shared" ref="L51" si="3">E51</f>
        <v>109</v>
      </c>
      <c r="M51" s="2">
        <f t="shared" ref="M51" si="4">F51</f>
        <v>22</v>
      </c>
    </row>
    <row r="52" spans="2:13" x14ac:dyDescent="0.3">
      <c r="B52" s="5" t="s">
        <v>16</v>
      </c>
      <c r="C52" s="2">
        <v>1074</v>
      </c>
      <c r="D52" s="2">
        <v>965</v>
      </c>
      <c r="E52" s="2">
        <v>274</v>
      </c>
      <c r="F52" s="2">
        <v>22</v>
      </c>
      <c r="G52" s="2">
        <v>2335</v>
      </c>
    </row>
    <row r="55" spans="2:13" x14ac:dyDescent="0.3">
      <c r="E55" t="s">
        <v>44</v>
      </c>
      <c r="F55" t="s">
        <v>45</v>
      </c>
    </row>
    <row r="56" spans="2:13" x14ac:dyDescent="0.3">
      <c r="B56" s="4" t="s">
        <v>15</v>
      </c>
      <c r="C56" t="s">
        <v>19</v>
      </c>
      <c r="E56" t="str">
        <f>B62</f>
        <v>Below 20</v>
      </c>
      <c r="F56" s="2">
        <f>C62</f>
        <v>7376.8850458715597</v>
      </c>
    </row>
    <row r="57" spans="2:13" x14ac:dyDescent="0.3">
      <c r="B57" s="5" t="s">
        <v>33</v>
      </c>
      <c r="C57" s="2">
        <v>9009.5903551401861</v>
      </c>
      <c r="E57" t="str">
        <f>B57</f>
        <v>20-30</v>
      </c>
      <c r="F57" s="2">
        <f>C57</f>
        <v>9009.5903551401861</v>
      </c>
    </row>
    <row r="58" spans="2:13" x14ac:dyDescent="0.3">
      <c r="B58" s="5" t="s">
        <v>34</v>
      </c>
      <c r="C58" s="2">
        <v>12361.605693877551</v>
      </c>
      <c r="E58" t="str">
        <f t="shared" ref="E58:E61" si="5">B58</f>
        <v>30-40</v>
      </c>
      <c r="F58" s="2">
        <f t="shared" ref="F58:F61" si="6">C58</f>
        <v>12361.605693877551</v>
      </c>
    </row>
    <row r="59" spans="2:13" x14ac:dyDescent="0.3">
      <c r="B59" s="5" t="s">
        <v>35</v>
      </c>
      <c r="C59" s="2">
        <v>15372.623713163064</v>
      </c>
      <c r="E59" t="str">
        <f t="shared" si="5"/>
        <v>40-50</v>
      </c>
      <c r="F59" s="2">
        <f t="shared" si="6"/>
        <v>15372.623713163064</v>
      </c>
    </row>
    <row r="60" spans="2:13" x14ac:dyDescent="0.3">
      <c r="B60" s="5" t="s">
        <v>36</v>
      </c>
      <c r="C60" s="2">
        <v>16509.799051383401</v>
      </c>
      <c r="E60" t="str">
        <f t="shared" si="5"/>
        <v>50-60</v>
      </c>
      <c r="F60" s="2">
        <f t="shared" si="6"/>
        <v>16509.799051383401</v>
      </c>
    </row>
    <row r="61" spans="2:13" x14ac:dyDescent="0.3">
      <c r="B61" s="5" t="s">
        <v>37</v>
      </c>
      <c r="C61" s="2">
        <v>20066.326451612906</v>
      </c>
      <c r="E61" t="str">
        <f t="shared" si="5"/>
        <v>Above 60</v>
      </c>
      <c r="F61" s="2">
        <f t="shared" si="6"/>
        <v>20066.326451612906</v>
      </c>
    </row>
    <row r="62" spans="2:13" x14ac:dyDescent="0.3">
      <c r="B62" s="5" t="s">
        <v>38</v>
      </c>
      <c r="C62" s="2">
        <v>7376.8850458715597</v>
      </c>
    </row>
    <row r="63" spans="2:13" x14ac:dyDescent="0.3">
      <c r="B63" s="5" t="s">
        <v>16</v>
      </c>
      <c r="C63" s="2">
        <v>13529.918034261242</v>
      </c>
    </row>
    <row r="70" spans="2:4" x14ac:dyDescent="0.3">
      <c r="B70" s="4" t="s">
        <v>15</v>
      </c>
      <c r="C70" t="s">
        <v>48</v>
      </c>
      <c r="D70" t="s">
        <v>49</v>
      </c>
    </row>
    <row r="71" spans="2:4" x14ac:dyDescent="0.3">
      <c r="B71" s="5">
        <v>0</v>
      </c>
      <c r="C71" s="2">
        <v>30.929520484171324</v>
      </c>
      <c r="D71" s="2">
        <v>7.1031378026070771</v>
      </c>
    </row>
    <row r="72" spans="2:4" x14ac:dyDescent="0.3">
      <c r="B72" s="5">
        <v>1</v>
      </c>
      <c r="C72" s="2">
        <v>30.799367875647668</v>
      </c>
      <c r="D72" s="2">
        <v>5.8116580310880828</v>
      </c>
    </row>
    <row r="73" spans="2:4" x14ac:dyDescent="0.3">
      <c r="B73" s="5">
        <v>2</v>
      </c>
      <c r="C73" s="2">
        <v>31.591113138686133</v>
      </c>
      <c r="D73" s="2">
        <v>7.0210948905109491</v>
      </c>
    </row>
    <row r="74" spans="2:4" x14ac:dyDescent="0.3">
      <c r="B74" s="5">
        <v>3</v>
      </c>
      <c r="C74" s="2">
        <v>32.976136363636364</v>
      </c>
      <c r="D74" s="2">
        <v>9.1436363636363627</v>
      </c>
    </row>
    <row r="75" spans="2:4" x14ac:dyDescent="0.3">
      <c r="B75" s="5" t="s">
        <v>16</v>
      </c>
      <c r="C75" s="2">
        <v>30.972648822269804</v>
      </c>
      <c r="D75" s="2">
        <v>6.5789978586723761</v>
      </c>
    </row>
    <row r="83" spans="2:13" ht="18.600000000000001" thickBot="1" x14ac:dyDescent="0.4">
      <c r="B83" s="4" t="s">
        <v>40</v>
      </c>
      <c r="C83" s="4" t="s">
        <v>20</v>
      </c>
      <c r="H83" s="28" t="s">
        <v>50</v>
      </c>
      <c r="I83" s="28"/>
      <c r="J83" s="28"/>
      <c r="K83" s="28"/>
    </row>
    <row r="84" spans="2:13" ht="29.4" thickBot="1" x14ac:dyDescent="0.35">
      <c r="B84" s="4" t="s">
        <v>15</v>
      </c>
      <c r="C84" t="s">
        <v>26</v>
      </c>
      <c r="D84" t="s">
        <v>27</v>
      </c>
      <c r="E84" t="s">
        <v>28</v>
      </c>
      <c r="F84" t="s">
        <v>16</v>
      </c>
      <c r="H84" s="20" t="s">
        <v>29</v>
      </c>
      <c r="I84" s="13" t="str">
        <f t="shared" ref="I84:K88" si="7">C84</f>
        <v>Diabetes</v>
      </c>
      <c r="J84" s="17" t="str">
        <f t="shared" si="7"/>
        <v>Normal</v>
      </c>
      <c r="K84" s="24" t="str">
        <f t="shared" si="7"/>
        <v>Prediabetes</v>
      </c>
    </row>
    <row r="85" spans="2:13" ht="16.2" thickBot="1" x14ac:dyDescent="0.35">
      <c r="B85" s="5" t="s">
        <v>22</v>
      </c>
      <c r="C85" s="2">
        <v>139</v>
      </c>
      <c r="D85" s="2">
        <v>216</v>
      </c>
      <c r="E85" s="2">
        <v>82</v>
      </c>
      <c r="F85" s="2">
        <v>437</v>
      </c>
      <c r="H85" s="21" t="str">
        <f>B85</f>
        <v>Normal Weight</v>
      </c>
      <c r="I85" s="18">
        <f t="shared" si="7"/>
        <v>139</v>
      </c>
      <c r="J85" s="10">
        <f t="shared" si="7"/>
        <v>216</v>
      </c>
      <c r="K85" s="25">
        <f t="shared" si="7"/>
        <v>82</v>
      </c>
    </row>
    <row r="86" spans="2:13" ht="19.2" thickTop="1" thickBot="1" x14ac:dyDescent="0.4">
      <c r="B86" s="5" t="s">
        <v>23</v>
      </c>
      <c r="C86" s="2">
        <v>423</v>
      </c>
      <c r="D86" s="2">
        <v>561</v>
      </c>
      <c r="E86" s="2">
        <v>237</v>
      </c>
      <c r="F86" s="2">
        <v>1221</v>
      </c>
      <c r="H86" s="21" t="str">
        <f>B86</f>
        <v>Obesity</v>
      </c>
      <c r="I86" s="19">
        <f t="shared" si="7"/>
        <v>423</v>
      </c>
      <c r="J86" s="11">
        <f t="shared" si="7"/>
        <v>561</v>
      </c>
      <c r="K86" s="26">
        <f t="shared" si="7"/>
        <v>237</v>
      </c>
      <c r="M86" s="15"/>
    </row>
    <row r="87" spans="2:13" ht="16.8" thickTop="1" thickBot="1" x14ac:dyDescent="0.35">
      <c r="B87" s="5" t="s">
        <v>24</v>
      </c>
      <c r="C87" s="2">
        <v>157</v>
      </c>
      <c r="D87" s="2">
        <v>236</v>
      </c>
      <c r="E87" s="2">
        <v>108</v>
      </c>
      <c r="F87" s="2">
        <v>501</v>
      </c>
      <c r="H87" s="21" t="str">
        <f>B87</f>
        <v>Overweight</v>
      </c>
      <c r="I87" s="19">
        <f t="shared" si="7"/>
        <v>157</v>
      </c>
      <c r="J87" s="11">
        <f t="shared" si="7"/>
        <v>236</v>
      </c>
      <c r="K87" s="26">
        <f t="shared" si="7"/>
        <v>108</v>
      </c>
    </row>
    <row r="88" spans="2:13" ht="16.2" thickTop="1" x14ac:dyDescent="0.3">
      <c r="B88" s="5" t="s">
        <v>25</v>
      </c>
      <c r="C88" s="2">
        <v>65</v>
      </c>
      <c r="D88" s="2">
        <v>82</v>
      </c>
      <c r="E88" s="2">
        <v>29</v>
      </c>
      <c r="F88" s="2">
        <v>176</v>
      </c>
      <c r="H88" s="16" t="str">
        <f>B88</f>
        <v>Underweight</v>
      </c>
      <c r="I88" s="22">
        <f t="shared" si="7"/>
        <v>65</v>
      </c>
      <c r="J88" s="23">
        <f t="shared" si="7"/>
        <v>82</v>
      </c>
      <c r="K88" s="27">
        <f t="shared" si="7"/>
        <v>29</v>
      </c>
    </row>
    <row r="89" spans="2:13" x14ac:dyDescent="0.3">
      <c r="B89" s="5" t="s">
        <v>16</v>
      </c>
      <c r="C89" s="2">
        <v>784</v>
      </c>
      <c r="D89" s="2">
        <v>1095</v>
      </c>
      <c r="E89" s="2">
        <v>456</v>
      </c>
      <c r="F89" s="2">
        <v>2335</v>
      </c>
    </row>
  </sheetData>
  <mergeCells count="1">
    <mergeCell ref="H83:K83"/>
  </mergeCells>
  <conditionalFormatting sqref="I85:K88">
    <cfRule type="colorScale" priority="2">
      <colorScale>
        <cfvo type="min"/>
        <cfvo type="percentile" val="50"/>
        <cfvo type="max"/>
        <color rgb="FF63BE7B"/>
        <color rgb="FFFFEB84"/>
        <color rgb="FFF8696B"/>
      </colorScale>
    </cfRule>
  </conditionalFormatting>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62B85-F55B-4421-89DC-656452D19E0B}">
  <dimension ref="A1:X28"/>
  <sheetViews>
    <sheetView showGridLines="0" tabSelected="1" zoomScaleNormal="100" workbookViewId="0">
      <selection activeCell="Y9" sqref="Y9"/>
    </sheetView>
  </sheetViews>
  <sheetFormatPr defaultRowHeight="14.4" x14ac:dyDescent="0.3"/>
  <sheetData>
    <row r="1" spans="1:24" x14ac:dyDescent="0.3">
      <c r="A1" s="12"/>
      <c r="B1" s="12"/>
      <c r="C1" s="12"/>
      <c r="D1" s="12"/>
      <c r="E1" s="12"/>
      <c r="F1" s="12"/>
      <c r="G1" s="12"/>
      <c r="H1" s="12"/>
      <c r="I1" s="12"/>
      <c r="J1" s="12"/>
      <c r="K1" s="12"/>
      <c r="L1" s="12"/>
      <c r="M1" s="12"/>
      <c r="N1" s="12"/>
      <c r="O1" s="12"/>
      <c r="P1" s="12"/>
      <c r="Q1" s="12"/>
      <c r="R1" s="12"/>
      <c r="S1" s="12"/>
      <c r="T1" s="12"/>
      <c r="U1" s="12"/>
      <c r="V1" s="12"/>
      <c r="W1" s="12"/>
      <c r="X1" s="12"/>
    </row>
    <row r="2" spans="1:24" x14ac:dyDescent="0.3">
      <c r="A2" s="12"/>
      <c r="B2" s="12"/>
      <c r="C2" s="12"/>
      <c r="D2" s="12"/>
      <c r="E2" s="12"/>
      <c r="F2" s="12"/>
      <c r="G2" s="12"/>
      <c r="H2" s="12"/>
      <c r="I2" s="12"/>
      <c r="J2" s="12"/>
      <c r="K2" s="12"/>
      <c r="L2" s="12"/>
      <c r="M2" s="12"/>
      <c r="N2" s="12"/>
      <c r="O2" s="12"/>
      <c r="P2" s="12"/>
      <c r="Q2" s="12"/>
      <c r="R2" s="12"/>
      <c r="S2" s="12"/>
      <c r="T2" s="12"/>
      <c r="U2" s="12"/>
      <c r="V2" s="12"/>
      <c r="W2" s="12"/>
      <c r="X2" s="12"/>
    </row>
    <row r="3" spans="1:24" x14ac:dyDescent="0.3">
      <c r="A3" s="12"/>
      <c r="B3" s="12"/>
      <c r="C3" s="12"/>
      <c r="D3" s="12"/>
      <c r="E3" s="12"/>
      <c r="F3" s="12"/>
      <c r="G3" s="12"/>
      <c r="H3" s="12"/>
      <c r="I3" s="12"/>
      <c r="J3" s="12"/>
      <c r="K3" s="12"/>
      <c r="L3" s="12"/>
      <c r="M3" s="12"/>
      <c r="N3" s="12"/>
      <c r="O3" s="12"/>
      <c r="P3" s="12"/>
      <c r="Q3" s="12"/>
      <c r="R3" s="12"/>
      <c r="S3" s="12"/>
      <c r="T3" s="12"/>
      <c r="U3" s="12"/>
      <c r="V3" s="12"/>
      <c r="W3" s="12"/>
      <c r="X3" s="12"/>
    </row>
    <row r="4" spans="1:24" x14ac:dyDescent="0.3">
      <c r="A4" s="12"/>
      <c r="B4" s="12"/>
      <c r="C4" s="12"/>
      <c r="D4" s="12"/>
      <c r="E4" s="12"/>
      <c r="F4" s="12"/>
      <c r="G4" s="12"/>
      <c r="H4" s="12"/>
      <c r="I4" s="12"/>
      <c r="J4" s="12"/>
      <c r="K4" s="12"/>
      <c r="L4" s="12"/>
      <c r="M4" s="12"/>
      <c r="N4" s="12"/>
      <c r="O4" s="12"/>
      <c r="P4" s="12"/>
      <c r="Q4" s="12"/>
      <c r="R4" s="12"/>
      <c r="S4" s="12"/>
      <c r="T4" s="12"/>
      <c r="U4" s="12"/>
      <c r="V4" s="12"/>
      <c r="W4" s="12"/>
      <c r="X4" s="12"/>
    </row>
    <row r="5" spans="1:24" x14ac:dyDescent="0.3">
      <c r="A5" s="12"/>
      <c r="B5" s="12"/>
      <c r="C5" s="12"/>
      <c r="D5" s="12"/>
      <c r="E5" s="12"/>
      <c r="F5" s="12"/>
      <c r="G5" s="12"/>
      <c r="H5" s="12"/>
      <c r="I5" s="12"/>
      <c r="J5" s="12"/>
      <c r="K5" s="12"/>
      <c r="L5" s="12"/>
      <c r="M5" s="12"/>
      <c r="N5" s="12"/>
      <c r="O5" s="12"/>
      <c r="P5" s="12"/>
      <c r="Q5" s="12"/>
      <c r="R5" s="12"/>
      <c r="S5" s="12"/>
      <c r="T5" s="12"/>
      <c r="U5" s="12"/>
      <c r="V5" s="12"/>
      <c r="W5" s="12"/>
      <c r="X5" s="12"/>
    </row>
    <row r="6" spans="1:24" x14ac:dyDescent="0.3">
      <c r="A6" s="12"/>
      <c r="B6" s="12"/>
      <c r="C6" s="12"/>
      <c r="D6" s="12"/>
      <c r="E6" s="12"/>
      <c r="F6" s="12"/>
      <c r="G6" s="12"/>
      <c r="H6" s="12"/>
      <c r="I6" s="12"/>
      <c r="J6" s="12"/>
      <c r="K6" s="12"/>
      <c r="L6" s="12"/>
      <c r="M6" s="12"/>
      <c r="N6" s="12"/>
      <c r="O6" s="12"/>
      <c r="P6" s="12"/>
      <c r="Q6" s="12"/>
      <c r="R6" s="12"/>
      <c r="S6" s="12"/>
      <c r="T6" s="12"/>
      <c r="U6" s="12"/>
      <c r="V6" s="12"/>
      <c r="W6" s="12"/>
      <c r="X6" s="12"/>
    </row>
    <row r="7" spans="1:24" x14ac:dyDescent="0.3">
      <c r="A7" s="12"/>
      <c r="B7" s="12"/>
      <c r="C7" s="12"/>
      <c r="D7" s="12"/>
      <c r="E7" s="12"/>
      <c r="F7" s="12"/>
      <c r="G7" s="12"/>
      <c r="H7" s="12"/>
      <c r="I7" s="12"/>
      <c r="J7" s="12"/>
      <c r="K7" s="12"/>
      <c r="L7" s="12"/>
      <c r="M7" s="12"/>
      <c r="N7" s="12"/>
      <c r="O7" s="12"/>
      <c r="P7" s="12"/>
      <c r="Q7" s="12"/>
      <c r="R7" s="12"/>
      <c r="S7" s="12"/>
      <c r="T7" s="12"/>
      <c r="U7" s="12"/>
      <c r="V7" s="12"/>
      <c r="W7" s="12"/>
      <c r="X7" s="12"/>
    </row>
    <row r="8" spans="1:24" x14ac:dyDescent="0.3">
      <c r="A8" s="12"/>
      <c r="B8" s="12"/>
      <c r="C8" s="12"/>
      <c r="D8" s="12"/>
      <c r="E8" s="12"/>
      <c r="F8" s="12"/>
      <c r="G8" s="12"/>
      <c r="H8" s="12"/>
      <c r="I8" s="12"/>
      <c r="J8" s="12"/>
      <c r="K8" s="12"/>
      <c r="L8" s="12"/>
      <c r="M8" s="12"/>
      <c r="N8" s="12"/>
      <c r="O8" s="12"/>
      <c r="P8" s="12"/>
      <c r="Q8" s="12"/>
      <c r="R8" s="12"/>
      <c r="S8" s="12"/>
      <c r="T8" s="12"/>
      <c r="U8" s="12"/>
      <c r="V8" s="12"/>
      <c r="W8" s="12"/>
      <c r="X8" s="12"/>
    </row>
    <row r="9" spans="1:24" x14ac:dyDescent="0.3">
      <c r="A9" s="12"/>
      <c r="B9" s="12"/>
      <c r="C9" s="12"/>
      <c r="D9" s="12"/>
      <c r="E9" s="12"/>
      <c r="F9" s="12"/>
      <c r="G9" s="12"/>
      <c r="H9" s="12"/>
      <c r="I9" s="12"/>
      <c r="J9" s="12"/>
      <c r="K9" s="12"/>
      <c r="L9" s="12"/>
      <c r="M9" s="12"/>
      <c r="N9" s="12"/>
      <c r="O9" s="12"/>
      <c r="P9" s="12"/>
      <c r="Q9" s="12"/>
      <c r="R9" s="12"/>
      <c r="S9" s="12"/>
      <c r="T9" s="12"/>
      <c r="U9" s="12"/>
      <c r="V9" s="12"/>
      <c r="W9" s="12"/>
      <c r="X9" s="12"/>
    </row>
    <row r="10" spans="1:24"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row>
    <row r="11" spans="1:24"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row>
    <row r="12" spans="1:24"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row>
    <row r="25" spans="1:24"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row>
    <row r="26" spans="1:24"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row>
    <row r="27" spans="1:24"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42EBF074-052C-476F-9EE5-ADE905065A50}">
  <ds:schemaRefs/>
</ds:datastoreItem>
</file>

<file path=customXml/itemProps2.xml><?xml version="1.0" encoding="utf-8"?>
<ds:datastoreItem xmlns:ds="http://schemas.openxmlformats.org/officeDocument/2006/customXml" ds:itemID="{8360BF0E-5E38-4A2F-B60C-F9EA08D87149}">
  <ds:schemaRefs/>
</ds:datastoreItem>
</file>

<file path=customXml/itemProps3.xml><?xml version="1.0" encoding="utf-8"?>
<ds:datastoreItem xmlns:ds="http://schemas.openxmlformats.org/officeDocument/2006/customXml" ds:itemID="{D4116153-8D28-40D7-9CBE-F545D9AD7B87}">
  <ds:schemaRefs/>
</ds:datastoreItem>
</file>

<file path=customXml/itemProps4.xml><?xml version="1.0" encoding="utf-8"?>
<ds:datastoreItem xmlns:ds="http://schemas.openxmlformats.org/officeDocument/2006/customXml" ds:itemID="{F3D1967E-E831-4262-9541-D5EA6903A1F4}">
  <ds:schemaRefs/>
</ds:datastoreItem>
</file>

<file path=customXml/itemProps5.xml><?xml version="1.0" encoding="utf-8"?>
<ds:datastoreItem xmlns:ds="http://schemas.openxmlformats.org/officeDocument/2006/customXml" ds:itemID="{8922732D-724A-4845-B514-5A216751E4D9}">
  <ds:schemaRefs/>
</ds:datastoreItem>
</file>

<file path=customXml/itemProps6.xml><?xml version="1.0" encoding="utf-8"?>
<ds:datastoreItem xmlns:ds="http://schemas.openxmlformats.org/officeDocument/2006/customXml" ds:itemID="{23EA5A5C-306A-4731-9DE3-184B80EE836D}">
  <ds:schemaRefs/>
</ds:datastoreItem>
</file>

<file path=customXml/itemProps7.xml><?xml version="1.0" encoding="utf-8"?>
<ds:datastoreItem xmlns:ds="http://schemas.openxmlformats.org/officeDocument/2006/customXml" ds:itemID="{924859BA-DA2F-4EC5-A7D7-9E7A08B289F7}">
  <ds:schemaRefs/>
</ds:datastoreItem>
</file>

<file path=customXml/itemProps8.xml><?xml version="1.0" encoding="utf-8"?>
<ds:datastoreItem xmlns:ds="http://schemas.openxmlformats.org/officeDocument/2006/customXml" ds:itemID="{935D69B2-9353-4A0C-AA34-CB5C5D9B5E26}">
  <ds:schemaRefs>
    <ds:schemaRef ds:uri="http://schemas.microsoft.com/DataMashup"/>
  </ds:schemaRefs>
</ds:datastoreItem>
</file>

<file path=customXml/itemProps9.xml><?xml version="1.0" encoding="utf-8"?>
<ds:datastoreItem xmlns:ds="http://schemas.openxmlformats.org/officeDocument/2006/customXml" ds:itemID="{D9B229FF-C18A-4FC1-B516-0AAB77AE6DF1}">
  <ds:schemaRefs/>
</ds:datastoreItem>
</file>

<file path=customXml/itemProps10.xml><?xml version="1.0" encoding="utf-8"?>
<ds:datastoreItem xmlns:ds="http://schemas.openxmlformats.org/officeDocument/2006/customXml" ds:itemID="{571D4E03-20C8-4091-8361-0C6B388AE5F6}">
  <ds:schemaRefs/>
</ds:datastoreItem>
</file>

<file path=customXml/itemProps11.xml><?xml version="1.0" encoding="utf-8"?>
<ds:datastoreItem xmlns:ds="http://schemas.openxmlformats.org/officeDocument/2006/customXml" ds:itemID="{A0A5C33F-AE98-49C5-B605-B1ACAA039C1B}">
  <ds:schemaRefs/>
</ds:datastoreItem>
</file>

<file path=customXml/itemProps12.xml><?xml version="1.0" encoding="utf-8"?>
<ds:datastoreItem xmlns:ds="http://schemas.openxmlformats.org/officeDocument/2006/customXml" ds:itemID="{92BA5B5A-5AA0-4E78-8FC3-D1FC3FEF61C9}">
  <ds:schemaRefs/>
</ds:datastoreItem>
</file>

<file path=customXml/itemProps13.xml><?xml version="1.0" encoding="utf-8"?>
<ds:datastoreItem xmlns:ds="http://schemas.openxmlformats.org/officeDocument/2006/customXml" ds:itemID="{41B96E31-43ED-4CA1-8078-87AAC5E512D4}">
  <ds:schemaRefs/>
</ds:datastoreItem>
</file>

<file path=customXml/itemProps14.xml><?xml version="1.0" encoding="utf-8"?>
<ds:datastoreItem xmlns:ds="http://schemas.openxmlformats.org/officeDocument/2006/customXml" ds:itemID="{5449454B-94BE-4F09-9199-982EA865C9B8}">
  <ds:schemaRefs/>
</ds:datastoreItem>
</file>

<file path=customXml/itemProps15.xml><?xml version="1.0" encoding="utf-8"?>
<ds:datastoreItem xmlns:ds="http://schemas.openxmlformats.org/officeDocument/2006/customXml" ds:itemID="{4052AB15-1809-43D6-A074-DFD0B64F1D13}">
  <ds:schemaRefs/>
</ds:datastoreItem>
</file>

<file path=customXml/itemProps16.xml><?xml version="1.0" encoding="utf-8"?>
<ds:datastoreItem xmlns:ds="http://schemas.openxmlformats.org/officeDocument/2006/customXml" ds:itemID="{1AB43403-49EF-4B57-B338-3955643BC55B}">
  <ds:schemaRefs/>
</ds:datastoreItem>
</file>

<file path=customXml/itemProps17.xml><?xml version="1.0" encoding="utf-8"?>
<ds:datastoreItem xmlns:ds="http://schemas.openxmlformats.org/officeDocument/2006/customXml" ds:itemID="{272735EF-4595-4314-B1D4-6EB2A75B6874}">
  <ds:schemaRefs/>
</ds:datastoreItem>
</file>

<file path=customXml/itemProps18.xml><?xml version="1.0" encoding="utf-8"?>
<ds:datastoreItem xmlns:ds="http://schemas.openxmlformats.org/officeDocument/2006/customXml" ds:itemID="{0477D50E-49EB-475C-A2E1-FE3AA1732CF0}">
  <ds:schemaRefs/>
</ds:datastoreItem>
</file>

<file path=customXml/itemProps19.xml><?xml version="1.0" encoding="utf-8"?>
<ds:datastoreItem xmlns:ds="http://schemas.openxmlformats.org/officeDocument/2006/customXml" ds:itemID="{8E144EE7-683A-4021-A120-DA4F7ACF3446}">
  <ds:schemaRefs/>
</ds:datastoreItem>
</file>

<file path=customXml/itemProps20.xml><?xml version="1.0" encoding="utf-8"?>
<ds:datastoreItem xmlns:ds="http://schemas.openxmlformats.org/officeDocument/2006/customXml" ds:itemID="{25175745-2C60-48DC-BB96-1643A63CDD74}">
  <ds:schemaRefs/>
</ds:datastoreItem>
</file>

<file path=customXml/itemProps21.xml><?xml version="1.0" encoding="utf-8"?>
<ds:datastoreItem xmlns:ds="http://schemas.openxmlformats.org/officeDocument/2006/customXml" ds:itemID="{17A1D4CF-D054-421F-B8E7-D721DC628946}">
  <ds:schemaRefs/>
</ds:datastoreItem>
</file>

<file path=customXml/itemProps22.xml><?xml version="1.0" encoding="utf-8"?>
<ds:datastoreItem xmlns:ds="http://schemas.openxmlformats.org/officeDocument/2006/customXml" ds:itemID="{D789DA50-1F0E-499E-BCEE-43902AE4E39C}">
  <ds:schemaRefs/>
</ds:datastoreItem>
</file>

<file path=customXml/itemProps23.xml><?xml version="1.0" encoding="utf-8"?>
<ds:datastoreItem xmlns:ds="http://schemas.openxmlformats.org/officeDocument/2006/customXml" ds:itemID="{84EC13F4-1FD0-48DA-AD23-E7C118302023}">
  <ds:schemaRefs/>
</ds:datastoreItem>
</file>

<file path=customXml/itemProps24.xml><?xml version="1.0" encoding="utf-8"?>
<ds:datastoreItem xmlns:ds="http://schemas.openxmlformats.org/officeDocument/2006/customXml" ds:itemID="{4FEFE539-5FDA-4948-AA99-900638C5FBA3}">
  <ds:schemaRefs/>
</ds:datastoreItem>
</file>

<file path=customXml/itemProps25.xml><?xml version="1.0" encoding="utf-8"?>
<ds:datastoreItem xmlns:ds="http://schemas.openxmlformats.org/officeDocument/2006/customXml" ds:itemID="{4F70D5ED-BB6E-4A69-9C1C-FE2F1FE3EB84}">
  <ds:schemaRefs/>
</ds:datastoreItem>
</file>

<file path=customXml/itemProps26.xml><?xml version="1.0" encoding="utf-8"?>
<ds:datastoreItem xmlns:ds="http://schemas.openxmlformats.org/officeDocument/2006/customXml" ds:itemID="{4AD28F3A-EE73-4A40-B84F-FF8F05D557C8}">
  <ds:schemaRefs/>
</ds:datastoreItem>
</file>

<file path=customXml/itemProps27.xml><?xml version="1.0" encoding="utf-8"?>
<ds:datastoreItem xmlns:ds="http://schemas.openxmlformats.org/officeDocument/2006/customXml" ds:itemID="{C87994DB-E01B-403D-8ECB-770C5BA84DF4}">
  <ds:schemaRefs/>
</ds:datastoreItem>
</file>

<file path=customXml/itemProps28.xml><?xml version="1.0" encoding="utf-8"?>
<ds:datastoreItem xmlns:ds="http://schemas.openxmlformats.org/officeDocument/2006/customXml" ds:itemID="{FEEEC2DF-E814-420C-8FCF-A521DDAE1A80}">
  <ds:schemaRefs/>
</ds:datastoreItem>
</file>

<file path=customXml/itemProps29.xml><?xml version="1.0" encoding="utf-8"?>
<ds:datastoreItem xmlns:ds="http://schemas.openxmlformats.org/officeDocument/2006/customXml" ds:itemID="{8048C31E-9F6E-480A-BF5B-7EB90F83AEE6}">
  <ds:schemaRefs/>
</ds:datastoreItem>
</file>

<file path=customXml/itemProps30.xml><?xml version="1.0" encoding="utf-8"?>
<ds:datastoreItem xmlns:ds="http://schemas.openxmlformats.org/officeDocument/2006/customXml" ds:itemID="{F1BE22B2-E145-468A-90A7-BED8A3331253}">
  <ds:schemaRefs/>
</ds:datastoreItem>
</file>

<file path=customXml/itemProps31.xml><?xml version="1.0" encoding="utf-8"?>
<ds:datastoreItem xmlns:ds="http://schemas.openxmlformats.org/officeDocument/2006/customXml" ds:itemID="{60FB0C12-765A-4080-B5C0-38A33D252D06}">
  <ds:schemaRefs/>
</ds:datastoreItem>
</file>

<file path=customXml/itemProps32.xml><?xml version="1.0" encoding="utf-8"?>
<ds:datastoreItem xmlns:ds="http://schemas.openxmlformats.org/officeDocument/2006/customXml" ds:itemID="{11C13738-FEC0-4157-B4F1-5615BA9A810F}">
  <ds:schemaRefs/>
</ds:datastoreItem>
</file>

<file path=customXml/itemProps33.xml><?xml version="1.0" encoding="utf-8"?>
<ds:datastoreItem xmlns:ds="http://schemas.openxmlformats.org/officeDocument/2006/customXml" ds:itemID="{E5F04BD9-AECF-486C-8E3E-0D6A6816AA36}">
  <ds:schemaRefs/>
</ds:datastoreItem>
</file>

<file path=customXml/itemProps34.xml><?xml version="1.0" encoding="utf-8"?>
<ds:datastoreItem xmlns:ds="http://schemas.openxmlformats.org/officeDocument/2006/customXml" ds:itemID="{D504B06B-DC9A-4A06-9006-3606CBE6577A}">
  <ds:schemaRefs/>
</ds:datastoreItem>
</file>

<file path=customXml/itemProps35.xml><?xml version="1.0" encoding="utf-8"?>
<ds:datastoreItem xmlns:ds="http://schemas.openxmlformats.org/officeDocument/2006/customXml" ds:itemID="{57B337F2-FBB4-4E77-8D48-B4847B2A1334}">
  <ds:schemaRefs/>
</ds:datastoreItem>
</file>

<file path=customXml/itemProps36.xml><?xml version="1.0" encoding="utf-8"?>
<ds:datastoreItem xmlns:ds="http://schemas.openxmlformats.org/officeDocument/2006/customXml" ds:itemID="{9A5BEDC5-022A-4AB8-8784-A9FFDCEC782B}">
  <ds:schemaRefs/>
</ds:datastoreItem>
</file>

<file path=customXml/itemProps37.xml><?xml version="1.0" encoding="utf-8"?>
<ds:datastoreItem xmlns:ds="http://schemas.openxmlformats.org/officeDocument/2006/customXml" ds:itemID="{076DF608-BDFF-4FEE-AA60-A34729E528BF}">
  <ds:schemaRefs/>
</ds:datastoreItem>
</file>

<file path=customXml/itemProps38.xml><?xml version="1.0" encoding="utf-8"?>
<ds:datastoreItem xmlns:ds="http://schemas.openxmlformats.org/officeDocument/2006/customXml" ds:itemID="{32AF62E0-7EF4-4CCA-BD0A-C16BF90342F0}">
  <ds:schemaRefs/>
</ds:datastoreItem>
</file>

<file path=customXml/itemProps39.xml><?xml version="1.0" encoding="utf-8"?>
<ds:datastoreItem xmlns:ds="http://schemas.openxmlformats.org/officeDocument/2006/customXml" ds:itemID="{FE4D5C2A-6C99-4668-87B2-6EB95F13258C}">
  <ds:schemaRefs/>
</ds:datastoreItem>
</file>

<file path=customXml/itemProps40.xml><?xml version="1.0" encoding="utf-8"?>
<ds:datastoreItem xmlns:ds="http://schemas.openxmlformats.org/officeDocument/2006/customXml" ds:itemID="{F01E26CD-1BBC-4287-AFB1-675A3B0F51A2}">
  <ds:schemaRefs/>
</ds:datastoreItem>
</file>

<file path=customXml/itemProps41.xml><?xml version="1.0" encoding="utf-8"?>
<ds:datastoreItem xmlns:ds="http://schemas.openxmlformats.org/officeDocument/2006/customXml" ds:itemID="{8414DD7A-C2A4-4C8C-AB0E-0122404A1D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Calc.</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Sijo George</cp:lastModifiedBy>
  <dcterms:created xsi:type="dcterms:W3CDTF">2015-06-05T18:17:20Z</dcterms:created>
  <dcterms:modified xsi:type="dcterms:W3CDTF">2026-07-25T14:12:46Z</dcterms:modified>
</cp:coreProperties>
</file>